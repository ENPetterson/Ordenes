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ordenes\template\"/>
    </mc:Choice>
  </mc:AlternateContent>
  <bookViews>
    <workbookView xWindow="0" yWindow="0" windowWidth="28800" windowHeight="12435"/>
  </bookViews>
  <sheets>
    <sheet name="Nomenclatura" sheetId="4" r:id="rId1"/>
    <sheet name="P" sheetId="1" r:id="rId2"/>
    <sheet name="D" sheetId="3" r:id="rId3"/>
    <sheet name="Listado Agentes" sheetId="2" state="hidden" r:id="rId4"/>
  </sheets>
  <definedNames>
    <definedName name="_xlnm.Print_Area" localSheetId="2">D!$A$1:$F$33</definedName>
    <definedName name="_xlnm.Print_Area" localSheetId="1">P!$A$1:$F$33</definedName>
  </definedNames>
  <calcPr calcId="152511"/>
</workbook>
</file>

<file path=xl/calcChain.xml><?xml version="1.0" encoding="utf-8"?>
<calcChain xmlns="http://schemas.openxmlformats.org/spreadsheetml/2006/main">
  <c r="B24" i="3" l="1"/>
  <c r="E23" i="3"/>
  <c r="E22" i="3"/>
  <c r="E21" i="3"/>
  <c r="E20" i="3"/>
  <c r="E19" i="3"/>
  <c r="E18" i="3"/>
  <c r="E17" i="3"/>
  <c r="E16" i="3"/>
  <c r="E15" i="3"/>
  <c r="E14" i="3"/>
  <c r="C11" i="3" s="1"/>
  <c r="C7" i="3"/>
  <c r="D6" i="3"/>
  <c r="H5" i="3"/>
  <c r="E23" i="1" l="1"/>
  <c r="E22" i="1"/>
  <c r="E21" i="1"/>
  <c r="E20" i="1"/>
  <c r="E19" i="1"/>
  <c r="E18" i="1"/>
  <c r="E17" i="1"/>
  <c r="E16" i="1"/>
  <c r="E15" i="1"/>
  <c r="E14" i="1"/>
  <c r="C11" i="1" s="1"/>
  <c r="B24" i="1"/>
  <c r="D6" i="1"/>
  <c r="A220" i="2"/>
  <c r="A219" i="2"/>
  <c r="C7" i="1"/>
  <c r="H5" i="1"/>
</calcChain>
</file>

<file path=xl/comments1.xml><?xml version="1.0" encoding="utf-8"?>
<comments xmlns="http://schemas.openxmlformats.org/spreadsheetml/2006/main">
  <authors>
    <author>rtosi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SELECCIONE
</t>
        </r>
        <r>
          <rPr>
            <sz val="9"/>
            <color indexed="81"/>
            <rFont val="Tahoma"/>
            <family val="2"/>
          </rPr>
          <t>MONEDA DE SUSCRIPCIÓN</t>
        </r>
      </text>
    </comment>
  </commentList>
</comments>
</file>

<file path=xl/comments2.xml><?xml version="1.0" encoding="utf-8"?>
<comments xmlns="http://schemas.openxmlformats.org/spreadsheetml/2006/main">
  <authors>
    <author>rtosi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SELECCIONE
</t>
        </r>
        <r>
          <rPr>
            <sz val="9"/>
            <color indexed="81"/>
            <rFont val="Tahoma"/>
            <family val="2"/>
          </rPr>
          <t>MONEDA DE SUSCRIPCIÓN</t>
        </r>
      </text>
    </comment>
  </commentList>
</comments>
</file>

<file path=xl/sharedStrings.xml><?xml version="1.0" encoding="utf-8"?>
<sst xmlns="http://schemas.openxmlformats.org/spreadsheetml/2006/main" count="3922" uniqueCount="1719">
  <si>
    <t xml:space="preserve">Cantidad V/N </t>
  </si>
  <si>
    <t>Fecha:</t>
  </si>
  <si>
    <t>Firma autorizada</t>
  </si>
  <si>
    <t>Nombre</t>
  </si>
  <si>
    <t>Matricula</t>
  </si>
  <si>
    <t>Numero</t>
  </si>
  <si>
    <t>CategoriaCNV</t>
  </si>
  <si>
    <t>MercadoCNV</t>
  </si>
  <si>
    <t>Direccion</t>
  </si>
  <si>
    <t>Codigo_Postal</t>
  </si>
  <si>
    <t>Ciudad</t>
  </si>
  <si>
    <t>Telefono</t>
  </si>
  <si>
    <t>Fax</t>
  </si>
  <si>
    <t>Mail</t>
  </si>
  <si>
    <t>WebSite</t>
  </si>
  <si>
    <t>Mandatarios</t>
  </si>
  <si>
    <t>Sucursales</t>
  </si>
  <si>
    <t>Socios_No_Agentes</t>
  </si>
  <si>
    <t>Operadores</t>
  </si>
  <si>
    <t>Agentes_Bolsa</t>
  </si>
  <si>
    <t>Aldazabal y Cía. S.A.</t>
  </si>
  <si>
    <t>142</t>
  </si>
  <si>
    <t>ALyC PROPIO</t>
  </si>
  <si>
    <t>Merval</t>
  </si>
  <si>
    <t>Reconquista 379 - 6° Piso Of. 601</t>
  </si>
  <si>
    <t>C1003ABG</t>
  </si>
  <si>
    <t>Capital Federal</t>
  </si>
  <si>
    <t>(54 11) 4394-4428/4613/6818/2321</t>
  </si>
  <si>
    <t>(54 11) 4325-7338</t>
  </si>
  <si>
    <t>info@aldazabal.sba.com.ar</t>
  </si>
  <si>
    <t>www.aldazabal.com.ar</t>
  </si>
  <si>
    <t/>
  </si>
  <si>
    <t>Rafael P. E. Aldazabal</t>
  </si>
  <si>
    <t>S.B.S Trading S.A.</t>
  </si>
  <si>
    <t>53</t>
  </si>
  <si>
    <t>ALyC INTEGRAL</t>
  </si>
  <si>
    <t>Madero 900 - 11º Piso (Torre Catalinas Plaza)</t>
  </si>
  <si>
    <t>C1001AFB</t>
  </si>
  <si>
    <t>(54 11) 4894-1800</t>
  </si>
  <si>
    <t>gp@gruposbs.com;sbs@gruposbs.com</t>
  </si>
  <si>
    <t>www.gruposbs.com</t>
  </si>
  <si>
    <t>Jorge Alberto Miteff; Marcelo A. Menéndez</t>
  </si>
  <si>
    <t>Forexbursatil S. A.</t>
  </si>
  <si>
    <t>126</t>
  </si>
  <si>
    <t>Tucumán 825 – 3er piso</t>
  </si>
  <si>
    <t>C1058AAF</t>
  </si>
  <si>
    <t>(54 11) 5199-9015/16 4328-2727/6473 4600-2658</t>
  </si>
  <si>
    <t>administrador@forexbursatil.com</t>
  </si>
  <si>
    <t>www.forexbursatil.com</t>
  </si>
  <si>
    <t>Guido Angel De Carlo</t>
  </si>
  <si>
    <t>Alvarez y Cía. Actividades Bursátiles S.C.</t>
  </si>
  <si>
    <t>132</t>
  </si>
  <si>
    <t>25 de Mayo 347 - 5° Piso Of. 547</t>
  </si>
  <si>
    <t>C1002ABG</t>
  </si>
  <si>
    <t>(54 11) 4312-0034/6787 y 4313-9951</t>
  </si>
  <si>
    <t>(54 11) 4312-0034/6787</t>
  </si>
  <si>
    <t>alvarezycia@alvarezycia.sba.com.ar</t>
  </si>
  <si>
    <t>www.alvarezycia.com</t>
  </si>
  <si>
    <t>Allaria Ledesma &amp; Cía. S.A.</t>
  </si>
  <si>
    <t>24</t>
  </si>
  <si>
    <t>25 de Mayo 359 - 12º Piso</t>
  </si>
  <si>
    <t>C1002ABL</t>
  </si>
  <si>
    <t>(54 11) 5555-6000 (líneas rotativas)</t>
  </si>
  <si>
    <t>(54 11) 5555-6003</t>
  </si>
  <si>
    <t>info@allaria.com.ar</t>
  </si>
  <si>
    <t>www.allaria.com.ar</t>
  </si>
  <si>
    <t>Ernesto (H) Allaria; Juan Francisco Politi</t>
  </si>
  <si>
    <t>Nacion Bursátil S.A.</t>
  </si>
  <si>
    <t>26</t>
  </si>
  <si>
    <t>Av. Leandro N. Alem 356 - 16º Piso</t>
  </si>
  <si>
    <t xml:space="preserve">C1043AAD </t>
  </si>
  <si>
    <t>(54 11) 4313-1212 (Rotativas) 4312-5212/5512</t>
  </si>
  <si>
    <t>info@nacionbursatil.com</t>
  </si>
  <si>
    <t>www.nacionbursatil.com</t>
  </si>
  <si>
    <t>Ricardo Antonio  Newton</t>
  </si>
  <si>
    <t>Portfolio Investment S.A. Sociedad de Bolsa</t>
  </si>
  <si>
    <t>282</t>
  </si>
  <si>
    <t>Lavalle 465 - 2º Piso</t>
  </si>
  <si>
    <t xml:space="preserve">C1047AAI </t>
  </si>
  <si>
    <t>(54 11) 4322-9843/6701/4668</t>
  </si>
  <si>
    <t>(54 11) 4322-6927</t>
  </si>
  <si>
    <t>portfolio@ssdnet.com.ar</t>
  </si>
  <si>
    <t>www.portfolio.sba.com.ar</t>
  </si>
  <si>
    <t xml:space="preserve">Marcelo Kiguel </t>
  </si>
  <si>
    <t>Banco Credicoop Cooperativo Limitado</t>
  </si>
  <si>
    <t>106</t>
  </si>
  <si>
    <t xml:space="preserve">Reconquista 484 - Piso 7º </t>
  </si>
  <si>
    <t>C.A.B.A.</t>
  </si>
  <si>
    <t>(54 11) 4320-5043</t>
  </si>
  <si>
    <t>(54 11) 4320-5321</t>
  </si>
  <si>
    <t>gvazquez@bancocredicoop.coop;ezaldivar@bancocredicoop.coop;hlevit@bancocredicoop.coop;salcazar@bancocredicoop.coop;alosada@bancocredicoop.coop</t>
  </si>
  <si>
    <t>www.bancocredicoop.coop</t>
  </si>
  <si>
    <t>BH Valores S.A.</t>
  </si>
  <si>
    <t>189</t>
  </si>
  <si>
    <t>Tte. Gral. J.D. Perón 525 P.B.</t>
  </si>
  <si>
    <t>C1038AAK</t>
  </si>
  <si>
    <t>(54 11) 4347-5832</t>
  </si>
  <si>
    <t>mhgiovanniello@hipotecario.com.ar;ccorreaurquiza@hipotecario.com.ar;gfavreaud@hipotecario.com.ar;wmouzo@hipotecario.com.ar</t>
  </si>
  <si>
    <t>www.bhvalores.sba.com.ar</t>
  </si>
  <si>
    <t>Saúl  Zang</t>
  </si>
  <si>
    <t>Buenos Aires Valores S.A.</t>
  </si>
  <si>
    <t>497</t>
  </si>
  <si>
    <t>25 de Mayo 332 - 6to. Piso</t>
  </si>
  <si>
    <t>----</t>
  </si>
  <si>
    <t>(54 11) 4322-8723</t>
  </si>
  <si>
    <t>informes@bavsa.com</t>
  </si>
  <si>
    <t>www.bavsa.com</t>
  </si>
  <si>
    <t>Alejo Álvarez</t>
  </si>
  <si>
    <t>Bacqué S.A.</t>
  </si>
  <si>
    <t>296</t>
  </si>
  <si>
    <t xml:space="preserve">Leandro N. Alem 465 - 3º Piso Of. E </t>
  </si>
  <si>
    <t xml:space="preserve">C1003AAE </t>
  </si>
  <si>
    <t>(54 11) 4311-1300 y 4312-8446/7</t>
  </si>
  <si>
    <t>(54 11) 4313-7014</t>
  </si>
  <si>
    <t>info@bacqueonline.com</t>
  </si>
  <si>
    <t>www.bacqueonline.com</t>
  </si>
  <si>
    <t>Héctor J. Bacque</t>
  </si>
  <si>
    <t>Debursa ALyC S.A.</t>
  </si>
  <si>
    <t>159</t>
  </si>
  <si>
    <t>Maipu 267 - 17° Piso</t>
  </si>
  <si>
    <t xml:space="preserve">C1084ABE </t>
  </si>
  <si>
    <t>(54 11) 4394-1436/1488/2304/7964</t>
  </si>
  <si>
    <t>debursa@debursa.sba.com.ar</t>
  </si>
  <si>
    <t>www.debursa.com.ar</t>
  </si>
  <si>
    <t>Emiliano Longueira</t>
  </si>
  <si>
    <t>Mundo Bursátil S.A.</t>
  </si>
  <si>
    <t>233</t>
  </si>
  <si>
    <t>Av. Corrientes 311 - 13° Piso</t>
  </si>
  <si>
    <t>C1043AAE</t>
  </si>
  <si>
    <t>(54 11) 4393-0700</t>
  </si>
  <si>
    <t>mundo@mundobursatil.net</t>
  </si>
  <si>
    <t>www.mundobursatil.net</t>
  </si>
  <si>
    <t>Bruno Savoldelli</t>
  </si>
  <si>
    <t>Banco Mariva S.A.</t>
  </si>
  <si>
    <t>49</t>
  </si>
  <si>
    <t>Sarmiento 500</t>
  </si>
  <si>
    <t>C1041AAJ</t>
  </si>
  <si>
    <t>(54 11) 4321-2200</t>
  </si>
  <si>
    <t>(54 11) 4321-2222</t>
  </si>
  <si>
    <t>rochinam@mariva.com.ar;baldin@mariva.com.ar;villalbar@mariva.com.ar;gallie@mariva.com.ar;migliorem@mariva.com.ar</t>
  </si>
  <si>
    <t>www.mariva.com.ar</t>
  </si>
  <si>
    <t>Cucchiara y Cía. S.A.</t>
  </si>
  <si>
    <t>265</t>
  </si>
  <si>
    <t>Sarmiento 470 - 2° Piso Of. 201</t>
  </si>
  <si>
    <t>(54 11) 4394-9330 (lineas rotativas)</t>
  </si>
  <si>
    <t>info@cucchiara.sba.com.ar;mariano@cucchiara.sba.com.ar;juanbattaglia@cucchiara.sba.com.ar</t>
  </si>
  <si>
    <t>www.cucchiara.com.ar</t>
  </si>
  <si>
    <t>Gustavo Guillermo Cucchiara</t>
  </si>
  <si>
    <t>Bagnardi y Cía. S.A.</t>
  </si>
  <si>
    <t>149</t>
  </si>
  <si>
    <t>Sarmiento 246 - 5° Piso</t>
  </si>
  <si>
    <t>C1041AAF</t>
  </si>
  <si>
    <t>(54 11) 4331-1312/4581/4583</t>
  </si>
  <si>
    <t>(54 11) 4331-1409</t>
  </si>
  <si>
    <t>bagnardiycia@bagcia.sba.com.ar</t>
  </si>
  <si>
    <t>www.bagnardiycia.com.ar</t>
  </si>
  <si>
    <t>Gerardo F. Bagnardi; Mario S. Bagnardi</t>
  </si>
  <si>
    <t>Proficio Investment  S.A. Sociedad de Bolsa</t>
  </si>
  <si>
    <t>115</t>
  </si>
  <si>
    <t>25 de Mayo 267 - 8° Piso - Of. 48</t>
  </si>
  <si>
    <t>(54 11) 4343-1000 (línea rotativa)</t>
  </si>
  <si>
    <t>eganapolsky@proficioinvestment.com;avarela@proficioinvestment.com;gblanco@proficioinvestment.com;gcoviello@proficioinvestment.com</t>
  </si>
  <si>
    <t xml:space="preserve">www.proficioinvestment.com  </t>
  </si>
  <si>
    <t>Eduardo Juan Javier Ganapolsky</t>
  </si>
  <si>
    <t>Mascaretti y Cía. S.A.</t>
  </si>
  <si>
    <t>96</t>
  </si>
  <si>
    <t xml:space="preserve">25 de Mayo 277 - 4º Piso </t>
  </si>
  <si>
    <t xml:space="preserve">C1002ABE </t>
  </si>
  <si>
    <t>(54 11) 4331-7112/4196 y 4343-7890/7810</t>
  </si>
  <si>
    <t>(54 11) 4343-5069</t>
  </si>
  <si>
    <t>bolsa@mascaretti.sba.com.ar</t>
  </si>
  <si>
    <t>www.mascarettisa.com</t>
  </si>
  <si>
    <t>Ricardo L. (h)  Mascaretti</t>
  </si>
  <si>
    <t>Provincia Bursátil S.A Sociedad de Bolsa</t>
  </si>
  <si>
    <t>35</t>
  </si>
  <si>
    <t>San Martin 108 - 12º Piso</t>
  </si>
  <si>
    <t>C1004AAD</t>
  </si>
  <si>
    <t>(54 11) 4347-0132/0295 y 4348-9413 int: 10132/10295/12524/12525/13405</t>
  </si>
  <si>
    <t>(54 11) 4348-9634</t>
  </si>
  <si>
    <t>claudioariganello@provinfondos.com;p.persivale@provinciabursatil.sba.com.ar</t>
  </si>
  <si>
    <t>www.provinciabursatil.com.ar/</t>
  </si>
  <si>
    <t>Calle 48 N° 547 Esquina 6, Piso 1° - La Plata</t>
  </si>
  <si>
    <t>Claudio Alberto Ariganello</t>
  </si>
  <si>
    <t>Corsiglia y Cía. S.A.</t>
  </si>
  <si>
    <t>270</t>
  </si>
  <si>
    <t>Av. Corrientes 545 – Piso 8 – Cfte.</t>
  </si>
  <si>
    <t>C1043AAR</t>
  </si>
  <si>
    <t>(54 11) 4327-4100 (Rotativas y Fax)</t>
  </si>
  <si>
    <t>corsiglia@attglobal.net;rbianco@corsiglia.sba.com.ar;afiorucci@corsiglia.sba.com.ar;mreynoso@sba.com.ar</t>
  </si>
  <si>
    <t>www.corsiglia.us</t>
  </si>
  <si>
    <t>Ignacio Agustín  Corsiglia</t>
  </si>
  <si>
    <t>Banco VOII S.A.</t>
  </si>
  <si>
    <t>69</t>
  </si>
  <si>
    <t>Av Alicia Moreau de Justo 140 - Piso 1°</t>
  </si>
  <si>
    <t>C1107AAD</t>
  </si>
  <si>
    <t>(54 11) 5173-5800</t>
  </si>
  <si>
    <t>apirillo@voii.com.ar;aaranda@voii.com.ar;dredondo@voii.com.ar;szitelli@voii.com.ar;mlopez@voii.com.ar</t>
  </si>
  <si>
    <t>www.voii.com.ar</t>
  </si>
  <si>
    <t>Becerra Bursátil S.A.</t>
  </si>
  <si>
    <t>177</t>
  </si>
  <si>
    <t>25 de Mayo 267 -  Piso 4°</t>
  </si>
  <si>
    <t>X500ACE</t>
  </si>
  <si>
    <t>Córdoba</t>
  </si>
  <si>
    <t>(54 351) 427-1489 / 90</t>
  </si>
  <si>
    <t>cbecerra@becerrabursatil.com.ar;gbecerra@becerrabursatil.com.ar;cgaretto@becerrabursatil.com.ar;lreyna@becerrabursatil.com.ar;mzenklussen@becerrabursatil.com.ar</t>
  </si>
  <si>
    <t>www.becerrabursatil.com/</t>
  </si>
  <si>
    <t>Besfamille S.A. Sociedad de Bolsa</t>
  </si>
  <si>
    <t>264</t>
  </si>
  <si>
    <t>25 de Mayo 277 – Piso 6, Of. “B”</t>
  </si>
  <si>
    <t>1002ABE</t>
  </si>
  <si>
    <t>(54 11) 5032-7128</t>
  </si>
  <si>
    <t>info@besfamille.com;sergio@besfamille.com;asesin@besfamille.com;m.orta@besfamille.com;d.ruggieri@besfamille.com;veronica@besfamille.com;agesteira@besfamille.com</t>
  </si>
  <si>
    <t>www.besfamille.com</t>
  </si>
  <si>
    <t>Sergio Besfamille</t>
  </si>
  <si>
    <t>Compañía de Inversiones Bursátiles S.A.</t>
  </si>
  <si>
    <t>504</t>
  </si>
  <si>
    <t xml:space="preserve">25 de Mayo 271, 9° Piso </t>
  </si>
  <si>
    <t>5000</t>
  </si>
  <si>
    <t>(54 351) 4228001 y rotativas</t>
  </si>
  <si>
    <t>gbrachetta@cibvalores.com;legales@cibvalores.com</t>
  </si>
  <si>
    <t>www.cibvalores.com</t>
  </si>
  <si>
    <t>Banco Industrial S.A.</t>
  </si>
  <si>
    <t>73</t>
  </si>
  <si>
    <t>Sarmiento 530 - Piso 2°</t>
  </si>
  <si>
    <t>1041</t>
  </si>
  <si>
    <t xml:space="preserve">(54 11) 5238-0200 (int. 27422 o 27220) o 5238-0256 </t>
  </si>
  <si>
    <t>gcarnero@industrialvalores.com.ar;lazambuya@industrialvalores.com.ar;jdepetris@bancoindustrial.com.ar;mzitarosa@industrialvalores.com.ar;geckelhart@bancoindustrial.com.ar</t>
  </si>
  <si>
    <t>www.bancoindustrial.com.ar</t>
  </si>
  <si>
    <t>Fenix Bursátil S.A.</t>
  </si>
  <si>
    <t>178</t>
  </si>
  <si>
    <t>San Martín 344 - 11º Piso</t>
  </si>
  <si>
    <t>C1004AAH</t>
  </si>
  <si>
    <t>(54 11) 6632-5000</t>
  </si>
  <si>
    <t>fb@fenixbursatil.com</t>
  </si>
  <si>
    <t>www.fenixbursatil.com</t>
  </si>
  <si>
    <t xml:space="preserve">Horacio Julio  Bonavía </t>
  </si>
  <si>
    <t>Aurum Valores S.A.</t>
  </si>
  <si>
    <t>565</t>
  </si>
  <si>
    <t>Marcelo T. de Alvear 636 - Piso 10° - Oficina A</t>
  </si>
  <si>
    <t xml:space="preserve">(54 11) 5219-1812 / 5219-1811 </t>
  </si>
  <si>
    <t>Info@aurumvalores.com</t>
  </si>
  <si>
    <t>www.aurumvalores.com</t>
  </si>
  <si>
    <t>Nuevo Chaco Bursátil S.A. Sociedad de Bolsa</t>
  </si>
  <si>
    <t>208</t>
  </si>
  <si>
    <t xml:space="preserve">Av. Leandro N. Alem 530 - 7mo. Piso </t>
  </si>
  <si>
    <t xml:space="preserve">(54 11) 5277-8550 </t>
  </si>
  <si>
    <t>(54 11) 4515-1370</t>
  </si>
  <si>
    <t>info@nchacobursatil.com.ar</t>
  </si>
  <si>
    <t>www.nchacobursatil.com.ar</t>
  </si>
  <si>
    <t>Lucas Martín Figueras</t>
  </si>
  <si>
    <t>Macro Securities S.A.</t>
  </si>
  <si>
    <t>59</t>
  </si>
  <si>
    <t>Juana Manso 555 – 8vo. Piso – Of. “A”</t>
  </si>
  <si>
    <t>C1041AAI</t>
  </si>
  <si>
    <t>(54 11) 5222-8965/66/67/70/75/28</t>
  </si>
  <si>
    <t>(54 11) 5222-8969</t>
  </si>
  <si>
    <t>macrosecurities@macro.com.ar;jorgecesti@macro.com.ar;juantorres@macro.com.ar;rominaricci@macro.com.ar;walterherrlein@macro.com.ar</t>
  </si>
  <si>
    <t>www.macrosecurities.com.ar</t>
  </si>
  <si>
    <t>Delfín Jorge E. Carballo; Marcelo Agustín Devoto</t>
  </si>
  <si>
    <t>Raymond James Argentina S.A.</t>
  </si>
  <si>
    <t>31</t>
  </si>
  <si>
    <t>San Martín 344  - 22º Piso</t>
  </si>
  <si>
    <t>(54 11) 4850-2500</t>
  </si>
  <si>
    <t>(54 11) 4850-2573</t>
  </si>
  <si>
    <t>info@raymondjames.com.ar</t>
  </si>
  <si>
    <t>www.raymondjames.com.ar</t>
  </si>
  <si>
    <t>Eduardo J.  Tapia</t>
  </si>
  <si>
    <t>Arata S. A.</t>
  </si>
  <si>
    <t>185</t>
  </si>
  <si>
    <t xml:space="preserve">25 de Mayo 347 – 5° Of. 532 </t>
  </si>
  <si>
    <t>(54 11) 4313-0202</t>
  </si>
  <si>
    <t>info@arata.sba.com.ar</t>
  </si>
  <si>
    <t>www.arata.sba.com.ar</t>
  </si>
  <si>
    <t>Nicolás Arata</t>
  </si>
  <si>
    <t>Argentina Valores S.A.</t>
  </si>
  <si>
    <t>156</t>
  </si>
  <si>
    <t xml:space="preserve">Humberto Primo 670 - Capitalinas, Torre Fragueiro, Piso 5, Oficina </t>
  </si>
  <si>
    <t>(54 351) 5684964</t>
  </si>
  <si>
    <t>contacto@argentinavalores.com.ar</t>
  </si>
  <si>
    <t>http://www.argentinavalores.com.ar/</t>
  </si>
  <si>
    <t>Capital Markets Argentina S.A.</t>
  </si>
  <si>
    <t>117</t>
  </si>
  <si>
    <t xml:space="preserve">Esmeralda 130 - 9° Piso </t>
  </si>
  <si>
    <t xml:space="preserve">C1035ABD </t>
  </si>
  <si>
    <t>(54 11) 4320-1900</t>
  </si>
  <si>
    <t>(54 11) 4320-1935</t>
  </si>
  <si>
    <t>pmandile@capitalmarkets.com.ar;prordriguez@capitalmarkets.com.ar</t>
  </si>
  <si>
    <t>www.capitalmarkets.com.ar</t>
  </si>
  <si>
    <t>Pablo M. Cairoli; Solange Bacque</t>
  </si>
  <si>
    <t>Puente Hnos. S.A.</t>
  </si>
  <si>
    <t>28</t>
  </si>
  <si>
    <t>Tucumán 1 - Piso 14 (Edificio República)</t>
  </si>
  <si>
    <t>C1049AAA</t>
  </si>
  <si>
    <t>(54 11) 4329-0000</t>
  </si>
  <si>
    <t>contactopuente@puentenet.com</t>
  </si>
  <si>
    <t>www.puentenet.com</t>
  </si>
  <si>
    <t>Federico  Tomasevich</t>
  </si>
  <si>
    <t>Banco de San Juan S.A.</t>
  </si>
  <si>
    <t>34</t>
  </si>
  <si>
    <t>Av. Jose Ignacio de la Roza 85 (oeste)</t>
  </si>
  <si>
    <t>5400</t>
  </si>
  <si>
    <t>San Juan</t>
  </si>
  <si>
    <t>(54 264) 4291-209/200/035</t>
  </si>
  <si>
    <t>(54 264) 4291-035</t>
  </si>
  <si>
    <t>Oficina_TitulosValores@bancosanjuan.com;ployola@bancosanjuan.com;hquiroga@bancosanjuan.com;acoraccio@bancosanjuan.com;solmos@bancosanjuan.com</t>
  </si>
  <si>
    <t>www.bancosanjuan.com</t>
  </si>
  <si>
    <t>Banco Supervielle S.A.</t>
  </si>
  <si>
    <t>57</t>
  </si>
  <si>
    <t>Bartolomé Mitre 434</t>
  </si>
  <si>
    <t>(54 11) 4324-8279/8287/8278/8289</t>
  </si>
  <si>
    <t>(54 11) 4324-8087</t>
  </si>
  <si>
    <t>pablo.solis@supervielle.com.ar;mariana.introzzi@supervielle.com.ar;federico.papavero@supervielle.com.ar;vilma.furlan@supervielle.com.ar</t>
  </si>
  <si>
    <t xml:space="preserve"> www.supervielle.com.ar</t>
  </si>
  <si>
    <t>BBVA Banco Francés S.A.</t>
  </si>
  <si>
    <t>42</t>
  </si>
  <si>
    <t>Reconquista 199</t>
  </si>
  <si>
    <t>1003</t>
  </si>
  <si>
    <t>+54-11-4348-000</t>
  </si>
  <si>
    <t>manuel.mansilla@bbva.com</t>
  </si>
  <si>
    <t>Dracma Sociedad de Bolsa S.A.</t>
  </si>
  <si>
    <t>201</t>
  </si>
  <si>
    <t>Alvear 19 - Piso 7°</t>
  </si>
  <si>
    <t>X5000ILA</t>
  </si>
  <si>
    <t>(54 351) 568-0012 / 0013</t>
  </si>
  <si>
    <t>administracion@dracmasa.com.ar</t>
  </si>
  <si>
    <t>www.dracmasa.com.ar</t>
  </si>
  <si>
    <t>Cohen S.A.</t>
  </si>
  <si>
    <t>21</t>
  </si>
  <si>
    <t>25 de Mayo 195 - 7° Piso</t>
  </si>
  <si>
    <t>C1002ABC</t>
  </si>
  <si>
    <t>(54 11) 5218-1100</t>
  </si>
  <si>
    <t>(54 11) 5218-1188</t>
  </si>
  <si>
    <t>cohensa@cohen.com.ar;romanch@cohen.com.ar</t>
  </si>
  <si>
    <t>www.cohen.com.ar/</t>
  </si>
  <si>
    <t>Julián Cohen</t>
  </si>
  <si>
    <t>Banco del Chubut S.A.</t>
  </si>
  <si>
    <t>71</t>
  </si>
  <si>
    <t>25 de Mayo 267 - P.B.</t>
  </si>
  <si>
    <t>1020</t>
  </si>
  <si>
    <t>C.A.B.A</t>
  </si>
  <si>
    <t>(54 11) 4331-9003</t>
  </si>
  <si>
    <t>(54 11) 4331-5320</t>
  </si>
  <si>
    <t>lscatularo@bancochubut.com.ar;wpopov@bancochubut.com.ar;mvazquez@bancochubut.com.ar</t>
  </si>
  <si>
    <t xml:space="preserve">www.bancochubut.com.ar </t>
  </si>
  <si>
    <t>Patagonia Valores Sociedad de Bolsa S.A.</t>
  </si>
  <si>
    <t>50</t>
  </si>
  <si>
    <t>Av. de Mayo 701 – Piso 13</t>
  </si>
  <si>
    <t>(54 11) 4510-1490</t>
  </si>
  <si>
    <t>patagoniavalores@bancopatagonia.com.ar</t>
  </si>
  <si>
    <t>www.patagoniavalores.com.ar/</t>
  </si>
  <si>
    <t>Rubén Miguel Iparraguirre</t>
  </si>
  <si>
    <t>Benedit Bursátil S. A.</t>
  </si>
  <si>
    <t>271</t>
  </si>
  <si>
    <t>25 de Mayo 565 - 7° Piso</t>
  </si>
  <si>
    <t>C1002ABK</t>
  </si>
  <si>
    <t>(54 11) 4315-8005/9299/9355</t>
  </si>
  <si>
    <t>(54 11) 4315-6985</t>
  </si>
  <si>
    <t>mbenedit@benedit.sba.com.ar;sbenedit@benedit.sba.com.ar</t>
  </si>
  <si>
    <t>www.beneditsa.com.ar</t>
  </si>
  <si>
    <t>Miguel Benedit</t>
  </si>
  <si>
    <t>Corneille Bursátil S.A.</t>
  </si>
  <si>
    <t>166</t>
  </si>
  <si>
    <t xml:space="preserve">Tucuman 255 - 2° Piso Of. D </t>
  </si>
  <si>
    <t>C1049AAE</t>
  </si>
  <si>
    <t>(54 11) 4312-0356</t>
  </si>
  <si>
    <t>(54 11) 4311-0398</t>
  </si>
  <si>
    <t>info@corneillebursatil.com.ar</t>
  </si>
  <si>
    <t>www.corneillebursati.com</t>
  </si>
  <si>
    <t>Grupo del Plata Sociedad de Bolsa S.A.</t>
  </si>
  <si>
    <t>202</t>
  </si>
  <si>
    <t>Alvear 19 - Piso 2° A</t>
  </si>
  <si>
    <t>(54 351) 423-1929 / 425-9572</t>
  </si>
  <si>
    <t>gdefilippi@gdelplata.com;mblake@gdelplata.com</t>
  </si>
  <si>
    <t>Burplaza S.A.</t>
  </si>
  <si>
    <t>163</t>
  </si>
  <si>
    <t>Reconquista 559 - 2° Piso</t>
  </si>
  <si>
    <t>C1003ABK</t>
  </si>
  <si>
    <t>(54 11) 4314-1306/1498/2552 /5826/5828/4827</t>
  </si>
  <si>
    <t>(54 11) 4314-5829</t>
  </si>
  <si>
    <t>burplaza@burplaza.com</t>
  </si>
  <si>
    <t>www.burplaza.com</t>
  </si>
  <si>
    <t>Daniel Chapto</t>
  </si>
  <si>
    <t>Banco de la Provincia de Buenos Aires</t>
  </si>
  <si>
    <t>43</t>
  </si>
  <si>
    <t>San Martín 137</t>
  </si>
  <si>
    <t>C1004AAC</t>
  </si>
  <si>
    <t>0810-22-BAPRO (22776) Opción 7 ó (11) 4347-0269 ó (11) 4343-1224 ó (11) 4331-7174</t>
  </si>
  <si>
    <t>centrodeinversiones@bpba.com.ar;serviciosalcliente@bpba.com.ar</t>
  </si>
  <si>
    <t>www.bancoprovincia.com.ar</t>
  </si>
  <si>
    <t>Roagro S.R.L.</t>
  </si>
  <si>
    <t>237</t>
  </si>
  <si>
    <t>Convenio ROFEX</t>
  </si>
  <si>
    <t>Santa Fe 1214 - Piso 1°</t>
  </si>
  <si>
    <t>2000</t>
  </si>
  <si>
    <t>Rosario</t>
  </si>
  <si>
    <t xml:space="preserve">(54 341) 440-4405 / 448-6860 </t>
  </si>
  <si>
    <t>(54 341) 440-4405 int 194</t>
  </si>
  <si>
    <t>juanbiani@roagro.com.ar</t>
  </si>
  <si>
    <t>www.roagro.com</t>
  </si>
  <si>
    <t>Global Equity S.A.</t>
  </si>
  <si>
    <t>37</t>
  </si>
  <si>
    <t xml:space="preserve">Reconquista 144 - 10° Piso  </t>
  </si>
  <si>
    <t>C1003ABD</t>
  </si>
  <si>
    <t>(54 11) 5235-1200</t>
  </si>
  <si>
    <t>(54 11) 5235-1201</t>
  </si>
  <si>
    <t>info@globalequity.com.ar</t>
  </si>
  <si>
    <t>www.globalequity.com.ar</t>
  </si>
  <si>
    <t>Luis Andrés Mornaghi</t>
  </si>
  <si>
    <t>Baires Bursátil</t>
  </si>
  <si>
    <t>195</t>
  </si>
  <si>
    <t>San Martin 439 - 11° Piso</t>
  </si>
  <si>
    <t>C104AAI</t>
  </si>
  <si>
    <t>(54 11) 4393-7171/7156 y 4325-1122</t>
  </si>
  <si>
    <t>marcela@cozzani.sba.com.ar</t>
  </si>
  <si>
    <t>www.cozzani.sba.com.ar</t>
  </si>
  <si>
    <t>Jorge A. Cozzani</t>
  </si>
  <si>
    <t>Domínguez Tziavaras S.A.</t>
  </si>
  <si>
    <t>84</t>
  </si>
  <si>
    <t xml:space="preserve">Viamonte 332 - 1° Piso Of. 8 </t>
  </si>
  <si>
    <t>C1053ABH</t>
  </si>
  <si>
    <t xml:space="preserve">Capital Federal </t>
  </si>
  <si>
    <t>(54 11) 4311-0105</t>
  </si>
  <si>
    <t>jad@dominguez.sba.com.ar;tziavaras@dominguez.sba.com.ar</t>
  </si>
  <si>
    <t>www.dominguez.sba.com.ar</t>
  </si>
  <si>
    <t>Dellepiane y Cía. S. C.</t>
  </si>
  <si>
    <t>127</t>
  </si>
  <si>
    <t xml:space="preserve">San Martin 320 - 7° Piso </t>
  </si>
  <si>
    <t>(54 11) 4393-9851</t>
  </si>
  <si>
    <t>(54 11) 4325-1771</t>
  </si>
  <si>
    <t>dellepiane@dellepianeycia.sba.com.ar</t>
  </si>
  <si>
    <t>www.dellepianeycia.sba.com.ar</t>
  </si>
  <si>
    <t>De Bary y Cía. S.A.</t>
  </si>
  <si>
    <t>494</t>
  </si>
  <si>
    <t>Lavalle 381 - 1° Piso</t>
  </si>
  <si>
    <t>C1047AAG</t>
  </si>
  <si>
    <t>(54 11) 4314-1182/1482/9672</t>
  </si>
  <si>
    <t>(54 11) 4314-9581</t>
  </si>
  <si>
    <t>info@debarycia.com.ar</t>
  </si>
  <si>
    <t>www.debarycia.com.ar</t>
  </si>
  <si>
    <t>Juan Pablo  de Bary</t>
  </si>
  <si>
    <t>Option Securities S.A.</t>
  </si>
  <si>
    <t>147</t>
  </si>
  <si>
    <t>25 de mayo 293 - Piso 6º A</t>
  </si>
  <si>
    <t>(54 11) 4343-1115</t>
  </si>
  <si>
    <t>(54 11) 4343-1115 - Interno 108</t>
  </si>
  <si>
    <t>recepcion@optionsecurites.com.ar</t>
  </si>
  <si>
    <t>www.optionsecurites.com.ar</t>
  </si>
  <si>
    <t>LBO S.A.</t>
  </si>
  <si>
    <t>160</t>
  </si>
  <si>
    <t>Rioja 1474 - 6° Piso</t>
  </si>
  <si>
    <t>Rosario - Santa Fe</t>
  </si>
  <si>
    <t>(54 341) 529-9999</t>
  </si>
  <si>
    <t>lbo@lbosa.com.ar</t>
  </si>
  <si>
    <t>www.lbosa.com.ar</t>
  </si>
  <si>
    <t>Bahía Blanca Sociedad de Bolsa S.A.</t>
  </si>
  <si>
    <t>120</t>
  </si>
  <si>
    <t>25 de Mayo 267 - 4º Piso</t>
  </si>
  <si>
    <t>C1002DBE</t>
  </si>
  <si>
    <t>(54 11) 4342-0629/4965/9140</t>
  </si>
  <si>
    <t>norma.gentile@bbsb.com.ar;mariano.rozasdennis@bbsb.com.ar;Jimena.ihitz@bbsb.com.ar</t>
  </si>
  <si>
    <t>www.bbsb.com.ar</t>
  </si>
  <si>
    <t>Norma Aurora Gentile</t>
  </si>
  <si>
    <t>Fernández Soljan S.A.</t>
  </si>
  <si>
    <t>339</t>
  </si>
  <si>
    <t xml:space="preserve">Córdoba 1452 - Piso 6° - Oficina E </t>
  </si>
  <si>
    <t>S2000AWV</t>
  </si>
  <si>
    <t>(54 341) 440-9099 / 425-4381</t>
  </si>
  <si>
    <t>hola@fernandezsoljan.com.ar;clientes@fernandezsoljan.com.ar</t>
  </si>
  <si>
    <t>www.fernandezsoljan.com.ar</t>
  </si>
  <si>
    <t>Banco de Valores S.A.</t>
  </si>
  <si>
    <t>60</t>
  </si>
  <si>
    <t>Sarmiento 310</t>
  </si>
  <si>
    <t>C1041AAH</t>
  </si>
  <si>
    <t>(54 11) 4323-6900</t>
  </si>
  <si>
    <t>(54 11) 4323-6942</t>
  </si>
  <si>
    <t>banval@banval.sba.com.ar;info@banval.sba.com.ar</t>
  </si>
  <si>
    <t>www.bancodevalores.com</t>
  </si>
  <si>
    <t>B.A. Brokers Sociedad de Bolsa S.A.</t>
  </si>
  <si>
    <t>528</t>
  </si>
  <si>
    <t>Sarmiento 517 - 1° Piso B</t>
  </si>
  <si>
    <t>(54 11) 4325-2120</t>
  </si>
  <si>
    <t>(54 11) 4394-2097</t>
  </si>
  <si>
    <t>cjusid@babrokers.sba.com.ar</t>
  </si>
  <si>
    <t>www.babrokers.sba.com.ar</t>
  </si>
  <si>
    <t>Adriana Coca</t>
  </si>
  <si>
    <t>Orlando Bursátil S.A.</t>
  </si>
  <si>
    <t>432</t>
  </si>
  <si>
    <t>25 de Mayo 516 - 8º Piso</t>
  </si>
  <si>
    <t>C1005AAP</t>
  </si>
  <si>
    <t xml:space="preserve"> Capital Federal</t>
  </si>
  <si>
    <t>(54 11) 4313-4045/8</t>
  </si>
  <si>
    <t>info@orlandoycia.sba.com.ar;laura@orlandobursatil.com;fbrizzo@orlandoycia.sba.com.ar</t>
  </si>
  <si>
    <t>www.orlandoycia.com.ar</t>
  </si>
  <si>
    <t>Héctor  Orlando; Ricardo A.  Orlando</t>
  </si>
  <si>
    <t>Fernández Laya S.A.</t>
  </si>
  <si>
    <t>118</t>
  </si>
  <si>
    <t>Reconquista 144 – Piso 8vo</t>
  </si>
  <si>
    <t>(54 11) 4331-0505</t>
  </si>
  <si>
    <t>info@fernandezlaya.sba.com.ar</t>
  </si>
  <si>
    <t>www.fernandezlaya.sba.com.ar</t>
  </si>
  <si>
    <t>Pablo Augusto Fernández</t>
  </si>
  <si>
    <t>Falabella y Corsi Inversora S.A.</t>
  </si>
  <si>
    <t>129</t>
  </si>
  <si>
    <t xml:space="preserve">Sarmiento 347 - 5° Piso Of. 26 </t>
  </si>
  <si>
    <t xml:space="preserve">C1041AAG </t>
  </si>
  <si>
    <t>(54 11) 4325-6790/1976/9307</t>
  </si>
  <si>
    <t>(54 11) 4325-6240</t>
  </si>
  <si>
    <t>falcor@falabellacorsi.sba.com.ar</t>
  </si>
  <si>
    <t>www.falabellaycorsi.com/</t>
  </si>
  <si>
    <t>Jorge H.  Corsi; Juan C.  Falabella</t>
  </si>
  <si>
    <t>Giannoni S. A.</t>
  </si>
  <si>
    <t>125</t>
  </si>
  <si>
    <t>25 de Mayo 252 - 5º Piso</t>
  </si>
  <si>
    <t xml:space="preserve">C1002ABF </t>
  </si>
  <si>
    <t>(54 11) 4331-5593/94/95</t>
  </si>
  <si>
    <t>info@gianoni-sa.com;admin@gianoni-sa.com</t>
  </si>
  <si>
    <t>www.giannoni-sa.com</t>
  </si>
  <si>
    <t>Fernando Luis Giannoni</t>
  </si>
  <si>
    <t>BTU Valores S.A.</t>
  </si>
  <si>
    <t>56</t>
  </si>
  <si>
    <t>Av. Leandro N. Alem 896 – Piso 10</t>
  </si>
  <si>
    <t xml:space="preserve">(54 11) 4321-4998 _x000D_
(54 11) 4321-4999 </t>
  </si>
  <si>
    <t xml:space="preserve">(54 11) 4321-4990 _x000D_
</t>
  </si>
  <si>
    <t>consultas@btuvalores.com.ar</t>
  </si>
  <si>
    <t>www.btuvalores.com.ar</t>
  </si>
  <si>
    <t>María Esperanza Nogueira</t>
  </si>
  <si>
    <t>Mateo y Marchioni Sociedad de Bolsa S.A.</t>
  </si>
  <si>
    <t>174</t>
  </si>
  <si>
    <t xml:space="preserve">25 de Mayo 298 - 2° Piso </t>
  </si>
  <si>
    <t>C1002 ABF</t>
  </si>
  <si>
    <t>(54 11) 5238-5555 (Líneas Rotativas)</t>
  </si>
  <si>
    <t>info@mmsb.com.ar</t>
  </si>
  <si>
    <t>www.mmsb.com.ar</t>
  </si>
  <si>
    <t>Rubén Darío Marchioni</t>
  </si>
  <si>
    <t>Metrocorp Valores S.A.</t>
  </si>
  <si>
    <t>55</t>
  </si>
  <si>
    <t>Macacha Güemes 150 - 1º Piso</t>
  </si>
  <si>
    <t xml:space="preserve">C1106AKA </t>
  </si>
  <si>
    <t>(54 11) 4318-6800/6824/6</t>
  </si>
  <si>
    <t>(54 11) 4318-6844</t>
  </si>
  <si>
    <t>metrocorp@cmfb.com.ar</t>
  </si>
  <si>
    <t>www.metrocorp.sba.com.ar</t>
  </si>
  <si>
    <t>Marcos Vicente Fidel Prieto</t>
  </si>
  <si>
    <t>Tomar Inversiones S.A.</t>
  </si>
  <si>
    <t>568</t>
  </si>
  <si>
    <t>TPCG Valores S.A.</t>
  </si>
  <si>
    <t>44</t>
  </si>
  <si>
    <t xml:space="preserve">Bouchard 547 - 27° Piso </t>
  </si>
  <si>
    <t>C1106ABG</t>
  </si>
  <si>
    <t>(54 11) 4510-0900 (rotativas)</t>
  </si>
  <si>
    <t>(54 11) 4508-6812</t>
  </si>
  <si>
    <t>www.tpcgvalores.com/</t>
  </si>
  <si>
    <t>Cristian Tang</t>
  </si>
  <si>
    <t>Maxinta Valores S.A.</t>
  </si>
  <si>
    <t>119</t>
  </si>
  <si>
    <t>Sarmiento 378 - Piso 7°</t>
  </si>
  <si>
    <t>(54 11) 5352-3102</t>
  </si>
  <si>
    <t>alvarez@maxinta.com;nan@maxinta.com</t>
  </si>
  <si>
    <t>www.maxinta.com</t>
  </si>
  <si>
    <t>Fescina y Cía. S. A.</t>
  </si>
  <si>
    <t>188</t>
  </si>
  <si>
    <t>25 de Mayo 347 - 4° Piso Of. 424</t>
  </si>
  <si>
    <t>(54 11) 4311-7224</t>
  </si>
  <si>
    <t>contacto@fescina.sba.com.ar</t>
  </si>
  <si>
    <t>www.fescinaonline.com.ar/</t>
  </si>
  <si>
    <t>Mediterránea Valores y Acciones S.A.</t>
  </si>
  <si>
    <t>128</t>
  </si>
  <si>
    <t>San Jerónimo 177 - Piso 10°</t>
  </si>
  <si>
    <t>(54 351) 568-5178 / 79</t>
  </si>
  <si>
    <t>info@mediterraneavyasa.com</t>
  </si>
  <si>
    <t>www.mediterraneavyasa.com</t>
  </si>
  <si>
    <t>Galicia Valores S. A.</t>
  </si>
  <si>
    <t>205</t>
  </si>
  <si>
    <t xml:space="preserve">Tte. Gral. Juan D. Perón 430/34 - 22º Piso </t>
  </si>
  <si>
    <t>(54 11) 6329-6890/1 y 6329-6895/6897</t>
  </si>
  <si>
    <t>(54 11) 6329-3947/3952</t>
  </si>
  <si>
    <t>javier.alonso@bancogalicia.com.ar;jorge.janeiro@bancogalicia.com.ar</t>
  </si>
  <si>
    <t>www.galicia-valores.com.ar</t>
  </si>
  <si>
    <t>Luis M.  Ribaya</t>
  </si>
  <si>
    <t>RL Valores S.A.</t>
  </si>
  <si>
    <t>245</t>
  </si>
  <si>
    <t>25 de Mayo 332 - 3º Piso</t>
  </si>
  <si>
    <t xml:space="preserve">C1002ABH </t>
  </si>
  <si>
    <t>(54 11) 4325-5590/5488</t>
  </si>
  <si>
    <t>rl@rl.sba.com.ar</t>
  </si>
  <si>
    <t>www.rl.sba.com.ar/</t>
  </si>
  <si>
    <t>Erica Rüegg</t>
  </si>
  <si>
    <t>Bell Investments S.A.</t>
  </si>
  <si>
    <t>169</t>
  </si>
  <si>
    <t>San Martín 344 – Piso 30 “A”</t>
  </si>
  <si>
    <t>(54 11) 5218-6000</t>
  </si>
  <si>
    <t>contacto@bellbursatil.com</t>
  </si>
  <si>
    <t>www.bellbursatil.com</t>
  </si>
  <si>
    <t>María Emilse Córdoba</t>
  </si>
  <si>
    <t>MR Administradora de Inversiones Sociedad de Bolsa S.A.</t>
  </si>
  <si>
    <t>230</t>
  </si>
  <si>
    <t>Maipú 566 - Piso 3° - Depto. F</t>
  </si>
  <si>
    <t>(54 11) 5217-3318</t>
  </si>
  <si>
    <t>mrai@mrai.com.ar</t>
  </si>
  <si>
    <t>www.mrai.com.ar</t>
  </si>
  <si>
    <t>Noreste Bursátil Sociedad de Bolsa S.A.</t>
  </si>
  <si>
    <t>232</t>
  </si>
  <si>
    <t xml:space="preserve">Dirección: Sarmiento 663 - Piso 9| - Contrafrente </t>
  </si>
  <si>
    <t>(54 11) 5032-4000</t>
  </si>
  <si>
    <t>info@nbsb.com.ar;andrea@nbsb.com.ar</t>
  </si>
  <si>
    <t>www.nbsb.com.ar</t>
  </si>
  <si>
    <t>RIG Valores S.A.</t>
  </si>
  <si>
    <t>122</t>
  </si>
  <si>
    <t>Av. Corrientes Nº 327 - 6º Piso</t>
  </si>
  <si>
    <t>C1043AAP</t>
  </si>
  <si>
    <t>(54 11) 4850-3400 (líneas rotativas)</t>
  </si>
  <si>
    <t>anavarro@rigvalores.com;jingrey@rigvalores.com</t>
  </si>
  <si>
    <t>www.riglobal.com/valores/index.htm</t>
  </si>
  <si>
    <t>Miguel Andrés Francisco Ingrey</t>
  </si>
  <si>
    <t>Novillo Saravia y Cía S.A.</t>
  </si>
  <si>
    <t>266</t>
  </si>
  <si>
    <t>San Jerónimo 177, Piso 1 "A" – Centro</t>
  </si>
  <si>
    <t>(54 351) 4213455 /4211693 / 4213985</t>
  </si>
  <si>
    <t>(54 351) 423-1850</t>
  </si>
  <si>
    <t>administracion@novillosaravia.com</t>
  </si>
  <si>
    <t>www.novillosaravia.com</t>
  </si>
  <si>
    <t>Soluciones Financieras S.A.</t>
  </si>
  <si>
    <t>100</t>
  </si>
  <si>
    <t>25 de Mayo 516 – Piso 10</t>
  </si>
  <si>
    <t>(54 11) 5238-0030</t>
  </si>
  <si>
    <t>solfin@solfin.com.ar</t>
  </si>
  <si>
    <t>www.solfin.com.ar/</t>
  </si>
  <si>
    <t>Thames 122-128 Piso 1° - San Isidro</t>
  </si>
  <si>
    <t>Alejandro Silveyra</t>
  </si>
  <si>
    <t>MPI Miguens - Pérez Iturraspe S.A.</t>
  </si>
  <si>
    <t>196</t>
  </si>
  <si>
    <t>San Martín 140 - 20º Piso</t>
  </si>
  <si>
    <t>(54 11) 5555-9600</t>
  </si>
  <si>
    <t>(54 11) 5555-9601</t>
  </si>
  <si>
    <t>mpi@mpi-sa.com.ar</t>
  </si>
  <si>
    <t>www.miguens-pereziturraspe.sba.com.ar</t>
  </si>
  <si>
    <t>Enrique  Perez Iturraspe</t>
  </si>
  <si>
    <t>Número Bursátil S.A.</t>
  </si>
  <si>
    <t>191</t>
  </si>
  <si>
    <t>Rivadavia 82 - 2° Piso - Oficina 2</t>
  </si>
  <si>
    <t>(54 351) 423-3623</t>
  </si>
  <si>
    <t>numerobursatil@fibertel.com.ar</t>
  </si>
  <si>
    <t>Advanced Capital Securities S.A.</t>
  </si>
  <si>
    <t>148</t>
  </si>
  <si>
    <t>Juncal 1311 - Piso 4°</t>
  </si>
  <si>
    <t>(54 11) 4819-1751</t>
  </si>
  <si>
    <t>(54 11) 4819-1757</t>
  </si>
  <si>
    <t>CHonig@ad-cap.com.ar;DCollante@ad-cap.com.ar;AHonig@ad-cap.com.ar;AAnauati@ad-cap.com.ar;info@ad-cap.com.ar</t>
  </si>
  <si>
    <t>www.ad-cap.com.ar</t>
  </si>
  <si>
    <t>Valfinsa Bursátil S.A.</t>
  </si>
  <si>
    <t>94</t>
  </si>
  <si>
    <t>Reconquista 144 - 11º Piso</t>
  </si>
  <si>
    <t>(54 11) 4343-0288/8168</t>
  </si>
  <si>
    <t>aiturrioz@vfb.com.ar</t>
  </si>
  <si>
    <t>www.vfb.com.ar/</t>
  </si>
  <si>
    <t>Carlos Alberto Mario Pechieu</t>
  </si>
  <si>
    <t>Comafi Bursátil S. A.</t>
  </si>
  <si>
    <t>213</t>
  </si>
  <si>
    <t xml:space="preserve">Bme. Mitre 699 </t>
  </si>
  <si>
    <t>C1036AAK</t>
  </si>
  <si>
    <t>(54 11) 4338-9363, 4338-9286</t>
  </si>
  <si>
    <t>(54 11) 4338-9680</t>
  </si>
  <si>
    <t>felixl@comafi.com.ar</t>
  </si>
  <si>
    <t xml:space="preserve">www.comafi.sba.com.ar  </t>
  </si>
  <si>
    <t xml:space="preserve">Félix J. Lafiandra </t>
  </si>
  <si>
    <t>Petrini Valores S.A.</t>
  </si>
  <si>
    <t>85</t>
  </si>
  <si>
    <t>25 de Mayo 271 - Piso 10°</t>
  </si>
  <si>
    <t>X5000ELE</t>
  </si>
  <si>
    <t>(54 0351) 423-0048 / 15-591-4511</t>
  </si>
  <si>
    <t>petrinivaloressa@petrini.com.ar;info@petrini.com.ar;leticia@petrini.com.ar;backoffice@petrini.com.ar</t>
  </si>
  <si>
    <t>www.petrini.com.ar</t>
  </si>
  <si>
    <t>Unigrain S.R.L.</t>
  </si>
  <si>
    <t>225</t>
  </si>
  <si>
    <t>25 de Mayo 460 - 5° Piso</t>
  </si>
  <si>
    <t>1002</t>
  </si>
  <si>
    <t>5252-0338 / 0339</t>
  </si>
  <si>
    <t>info@unigrain.com.ar</t>
  </si>
  <si>
    <t>BBVA Francés Valores Sociedad de Bolsa S.A.</t>
  </si>
  <si>
    <t>41</t>
  </si>
  <si>
    <t xml:space="preserve">Tte. Gral. J.D. Perón 380 - 7º Piso </t>
  </si>
  <si>
    <t xml:space="preserve">C1003ABE </t>
  </si>
  <si>
    <t>+54-11-4346-4000 (Conmutador) 4346-4509/4268 (Operaciones) 4346-4504 (Administración)</t>
  </si>
  <si>
    <t>+54-11-4342-1386</t>
  </si>
  <si>
    <t>www.bbvafrancesvalores.sba.com.ar</t>
  </si>
  <si>
    <t>Juan A. N. Estrada</t>
  </si>
  <si>
    <t>Banco de la Nación Argentina</t>
  </si>
  <si>
    <t>251</t>
  </si>
  <si>
    <t>Bartolomé Mitre 326</t>
  </si>
  <si>
    <t>(54 11) 4347-6000</t>
  </si>
  <si>
    <t>(54 11) 4347-7980</t>
  </si>
  <si>
    <t>apace@bna.com.ar;eorce@bna.com.ar;egerding@bna.com.ar;garmisen@bna.com.ar;rrivela@bna.com.ar</t>
  </si>
  <si>
    <t>www.bna.com.ar</t>
  </si>
  <si>
    <t>S&amp;C Inversiones SBSA</t>
  </si>
  <si>
    <t>105</t>
  </si>
  <si>
    <t>Ituzaingo 129 - Piso 5° - Oficina A</t>
  </si>
  <si>
    <t>(54 351) 427-2581 / 569-0259 / 569-0260</t>
  </si>
  <si>
    <t>(54 351) 427-2569</t>
  </si>
  <si>
    <t>informes@sycinversiones.com.ar;informes@sycinversiones.com;acasas@sycinversiones.com.ar;imaldonado@sycinversiones.com.ar;nrojo@sycinversiones.com.ar</t>
  </si>
  <si>
    <t>www.sycinversiones.com.ar</t>
  </si>
  <si>
    <t>Lacoste y Cía. S.A.</t>
  </si>
  <si>
    <t>90</t>
  </si>
  <si>
    <t>Lavalle 547 - 3º Piso</t>
  </si>
  <si>
    <t xml:space="preserve">C1047AAK </t>
  </si>
  <si>
    <t>(54 11) 4393-6112/6596/6766</t>
  </si>
  <si>
    <t>lacosteycia@lacoste.sba.com.ar</t>
  </si>
  <si>
    <t>www.lacoste.sba.com.ar</t>
  </si>
  <si>
    <t>Raúl J.  Lacoste</t>
  </si>
  <si>
    <t>Intercapital S.A.</t>
  </si>
  <si>
    <t>513</t>
  </si>
  <si>
    <t>25 de Mayo 359 - 6to. Piso</t>
  </si>
  <si>
    <t xml:space="preserve">C1002ABG </t>
  </si>
  <si>
    <t>(54 11) 4312-2489/4261</t>
  </si>
  <si>
    <t>intercapital@intercapital.sba.com.ar</t>
  </si>
  <si>
    <t>www.intercapitalsb.com.ar</t>
  </si>
  <si>
    <t>Norberto Peluso</t>
  </si>
  <si>
    <t>Nuevo Banco de Entre Ríos S.A.</t>
  </si>
  <si>
    <t>65</t>
  </si>
  <si>
    <t>Monte Caseros 128</t>
  </si>
  <si>
    <t>3100</t>
  </si>
  <si>
    <t>Paraná</t>
  </si>
  <si>
    <t>(54 343) 420-1256 / 1259 / 1252 / 1251 / 1321</t>
  </si>
  <si>
    <t xml:space="preserve">(54 343) 420-1200 </t>
  </si>
  <si>
    <t>ruben.kaplan@nuevobersa.com.ar;jorge.reato@nuevobersa.com.ar;eduardo.ojeda@nuevobersa.com.ar;gisela.orzuza@nuevobersa.com.ar;adrian.werner@nuevobersa.com</t>
  </si>
  <si>
    <t>www.nuevobersa.com.ar</t>
  </si>
  <si>
    <t>Mariva Bursátil S.A</t>
  </si>
  <si>
    <t>146</t>
  </si>
  <si>
    <t>San Martin 299 - 4º Piso</t>
  </si>
  <si>
    <t xml:space="preserve">C1004AAE </t>
  </si>
  <si>
    <t>(54 11) 4321-2200 int. 110 - 166 y 4321-2280</t>
  </si>
  <si>
    <t>bursatil@mariva.com.ar</t>
  </si>
  <si>
    <t>Jorge A.  Gilligan</t>
  </si>
  <si>
    <t>R. Mackintosh S. A.</t>
  </si>
  <si>
    <t>152</t>
  </si>
  <si>
    <t xml:space="preserve">Maipu 692 - 5º Piso Of. A </t>
  </si>
  <si>
    <t xml:space="preserve">C1006ACH </t>
  </si>
  <si>
    <t>(54 11) 4393-7347 y 4326-9417</t>
  </si>
  <si>
    <t>macki@macki.sba.com.ar</t>
  </si>
  <si>
    <t>www.macki.sba.com.ar</t>
  </si>
  <si>
    <t>Lynx Valores S.A.</t>
  </si>
  <si>
    <t>255</t>
  </si>
  <si>
    <t xml:space="preserve">Av. Corrientes 330 - 2° Piso  </t>
  </si>
  <si>
    <t>C1043AAQ</t>
  </si>
  <si>
    <t>(54 11) 4394-5969 (líneas rotativas)</t>
  </si>
  <si>
    <t>(54 11) 4322-0790</t>
  </si>
  <si>
    <t>lynx@lynxbursatil.com.ar;jcordero@lynxbursatil.com.ar;fnieva@lynxbursatil.com.ar</t>
  </si>
  <si>
    <t>www.lynxbursatil.com.ar</t>
  </si>
  <si>
    <t>Jorge  Cordero</t>
  </si>
  <si>
    <t>Nuevo Banco de Santa Fé S.A.</t>
  </si>
  <si>
    <t>36</t>
  </si>
  <si>
    <t>San Martin 715</t>
  </si>
  <si>
    <t>(54 341) 429.4396</t>
  </si>
  <si>
    <t>(54 341) 429.4377</t>
  </si>
  <si>
    <t>tituyval@bancobsf.com.ar;celottoi@bancobsf.com.ar;morgantih@bancobsf.com.ar</t>
  </si>
  <si>
    <t xml:space="preserve"> www.bancobsf.com.ar</t>
  </si>
  <si>
    <t>Alchemy Valores S.A.</t>
  </si>
  <si>
    <t>209</t>
  </si>
  <si>
    <t>Bouchard 547 - 12° Piso</t>
  </si>
  <si>
    <t>(54 11) 4893-2701</t>
  </si>
  <si>
    <t>(54 11) 4315-6440</t>
  </si>
  <si>
    <t>alchemy@alchemyvalores.com</t>
  </si>
  <si>
    <t>www.alchemyvalores.com</t>
  </si>
  <si>
    <t>Paulo Francisco Belluschi</t>
  </si>
  <si>
    <t>Rosario Valores S.A.</t>
  </si>
  <si>
    <t>39</t>
  </si>
  <si>
    <t>Reconquista 458 - Piso 7°</t>
  </si>
  <si>
    <t>C1047AAJ</t>
  </si>
  <si>
    <t>(54 11) 4393-9391/9649</t>
  </si>
  <si>
    <t>info@rosariovalores.com.ar;mesa@rosariovalores.com.ar</t>
  </si>
  <si>
    <t>www.rosariovalores.com.ar/</t>
  </si>
  <si>
    <t>Fernando J. Luciani</t>
  </si>
  <si>
    <t xml:space="preserve">Seguí y Cía. S.A. Sociedad de Bolsa </t>
  </si>
  <si>
    <t>161</t>
  </si>
  <si>
    <t>San Jerónimo Nº 177 - Piso 9°</t>
  </si>
  <si>
    <t>(54 351) 421-6583 / 425-1303</t>
  </si>
  <si>
    <t>seguialyc@gmail.com</t>
  </si>
  <si>
    <t>Copello S B S.A.</t>
  </si>
  <si>
    <t>154</t>
  </si>
  <si>
    <t xml:space="preserve">25 de Mayo 347 - 3° Piso Of. 309 / 311 </t>
  </si>
  <si>
    <t>(54 11) 4312-7861</t>
  </si>
  <si>
    <t>(54 11) 4311-7839</t>
  </si>
  <si>
    <t>copello@copello.sba.com.ar</t>
  </si>
  <si>
    <t>www.copello.sba.com.ar</t>
  </si>
  <si>
    <t>Claudio Marcelo Peres Moore</t>
  </si>
  <si>
    <t>Casa Bursátil S.A.</t>
  </si>
  <si>
    <t>298</t>
  </si>
  <si>
    <t>25 de Mayo 332 – Piso 5°</t>
  </si>
  <si>
    <t>C1003ABL</t>
  </si>
  <si>
    <t>(54 11) 4328-3878 / 4328-3884</t>
  </si>
  <si>
    <t>(54 11) 4328-3884</t>
  </si>
  <si>
    <t>info@casabursatil.com.ar;tesoreria@casabursatil.com.ar;operaciones@casabursatil.com.ar;esteban@casabursatil.com.ar;angel@casabursatil.com.ar</t>
  </si>
  <si>
    <t>www.casa.sba.com.ar</t>
  </si>
  <si>
    <t>Esteban Iribarne</t>
  </si>
  <si>
    <t>REM Bursátil S.A.</t>
  </si>
  <si>
    <t>173</t>
  </si>
  <si>
    <t xml:space="preserve">Reconquista 336 - 5º Piso Of. 50/52 </t>
  </si>
  <si>
    <t xml:space="preserve">C1003ABH </t>
  </si>
  <si>
    <t>(54 11) 4326-7719</t>
  </si>
  <si>
    <t>rem@rem.sba.com.ar</t>
  </si>
  <si>
    <t>www.rembursatil.com.ar</t>
  </si>
  <si>
    <t>Guillermo Gamble</t>
  </si>
  <si>
    <t>Max Valores S.A.</t>
  </si>
  <si>
    <t>570</t>
  </si>
  <si>
    <t>25 de Mayo 555 - Piso 24°</t>
  </si>
  <si>
    <t>(54 11) 5776-3300</t>
  </si>
  <si>
    <t>jrb@maxvalores.com;hll@maxvalores.com;jll@maxvalores.com;azl@maxvalores.com</t>
  </si>
  <si>
    <t>www.maxvalores.com</t>
  </si>
  <si>
    <t>Montelatici y Cía. S. A.</t>
  </si>
  <si>
    <t>269</t>
  </si>
  <si>
    <t xml:space="preserve">25 de Mayo 347 - 4º Piso Of. 459 </t>
  </si>
  <si>
    <t>(54 11) 4313-8886/2219/8892/6924</t>
  </si>
  <si>
    <t>(54 11) 4313-8863</t>
  </si>
  <si>
    <t>fmontelatici@montelatici.sba.com.ar</t>
  </si>
  <si>
    <t>www.montelatici.sba.com.ar</t>
  </si>
  <si>
    <t>Ana M. Montelatici</t>
  </si>
  <si>
    <t>Industrial Valores S.A.</t>
  </si>
  <si>
    <t>153</t>
  </si>
  <si>
    <t>Sarmiento 530 - 6º Piso</t>
  </si>
  <si>
    <t>C1041AAL</t>
  </si>
  <si>
    <t>(54 11) 5238-0256_x000D_
(54 11) 5238-0200 _x000D_
Internos 27422 o 27413</t>
  </si>
  <si>
    <t>industrialvalores@bancoindustrial.com.ar</t>
  </si>
  <si>
    <t>www.industrial.sba.com.ar</t>
  </si>
  <si>
    <t>Andrés Gustavo Prida</t>
  </si>
  <si>
    <t>Macchi Valores S.A.</t>
  </si>
  <si>
    <t>183</t>
  </si>
  <si>
    <t xml:space="preserve">San Martin 617 - 5º Piso Of. F </t>
  </si>
  <si>
    <t xml:space="preserve">C1004AAM </t>
  </si>
  <si>
    <t>(54 11) 4314-6915/6916/1793</t>
  </si>
  <si>
    <t>info@jmacchi.com.ar</t>
  </si>
  <si>
    <t>www.jmacchi.com.ar</t>
  </si>
  <si>
    <t>Julio A. Macchi</t>
  </si>
  <si>
    <t>Bolsa de Comercio de La Plata</t>
  </si>
  <si>
    <t>2</t>
  </si>
  <si>
    <t>CALLE 48 N° 515</t>
  </si>
  <si>
    <t>LA PLATA</t>
  </si>
  <si>
    <t>1900</t>
  </si>
  <si>
    <t>(54 221) 421-7202</t>
  </si>
  <si>
    <t>bclp@probolsa.com.ar;franco@probolsa.com.ar;fmorzone@probolsa.com.ar;diego@probolsa.com.ar;lucia@probolsa.com.ar</t>
  </si>
  <si>
    <t>www.probolsa.com.ar</t>
  </si>
  <si>
    <t>Viano Sociedad de Bolsa S.A.</t>
  </si>
  <si>
    <t>211</t>
  </si>
  <si>
    <t>Rosario de Santa Fe 231 - Piso 4° - Oficina 7</t>
  </si>
  <si>
    <t>X5000ACE</t>
  </si>
  <si>
    <t>(54 351) 421-2113 / 423-8599</t>
  </si>
  <si>
    <t>info@viano.com.ar;oviano@viano.com.ar</t>
  </si>
  <si>
    <t>Maestro y Huerres S.A</t>
  </si>
  <si>
    <t>215</t>
  </si>
  <si>
    <t xml:space="preserve">Sarmiento 470 P.B. </t>
  </si>
  <si>
    <t xml:space="preserve">C1041AAJ </t>
  </si>
  <si>
    <t>(54 11) 4394-7212/8307/8522/9329</t>
  </si>
  <si>
    <t>maestroyhuerres@maestroyhuerres.sba.com.ar;jorgezeballos@maestroyhuerres.sba.com.ar</t>
  </si>
  <si>
    <t>www.maestroyhuerres.com</t>
  </si>
  <si>
    <t>Antonio Maestro</t>
  </si>
  <si>
    <t>Navarro Viola y Cía. S.A.</t>
  </si>
  <si>
    <t>267</t>
  </si>
  <si>
    <t>25 de Mayo 350 - 10º Piso</t>
  </si>
  <si>
    <t>(54 11) 4328-7263/7277/7310/0014/7438/9848/3345</t>
  </si>
  <si>
    <t>(54 11) 4328-1359/7925</t>
  </si>
  <si>
    <t>navarro@navarroviola.com.ar</t>
  </si>
  <si>
    <t>www.navarroviola.com.ar</t>
  </si>
  <si>
    <t>Roberto  Blanco; Saturnino R. R. Funes</t>
  </si>
  <si>
    <t>Banco Santander Río S.A.</t>
  </si>
  <si>
    <t>72</t>
  </si>
  <si>
    <t>Bartolomé Mitre 480</t>
  </si>
  <si>
    <t>4341-1062</t>
  </si>
  <si>
    <t>imachado@santanderrio.com.ar;lrosli@santanderrio.com.ar;mlizarraga@santanderrio.com.ar</t>
  </si>
  <si>
    <t>www.santanderrio.com.ar</t>
  </si>
  <si>
    <t>Palm Inversiones S.A.</t>
  </si>
  <si>
    <t>259</t>
  </si>
  <si>
    <t>25 de Mayo 460 - Piso 2°</t>
  </si>
  <si>
    <t>(54 11) 4313-0773</t>
  </si>
  <si>
    <t>(54 11) 5256-8711</t>
  </si>
  <si>
    <t>stroncoso@lemecorp.com.ar;flemesoff@lemecorp.com.ar;nlemesoff@lemecorp.com.ar;erotunno@lemecorp.com.ar;info@palmaressbsa.com.ar</t>
  </si>
  <si>
    <t>www.palmaressbsa.com.ar</t>
  </si>
  <si>
    <t>Banco de la Provincia de Córdoba S.A.</t>
  </si>
  <si>
    <t>75</t>
  </si>
  <si>
    <t>Humberto Primo 670- Piso 5° - Torre Suquía</t>
  </si>
  <si>
    <t xml:space="preserve">(54 351) 4207940 / (54 351) 4207577 </t>
  </si>
  <si>
    <t>mmarochi@bancor.com.ar;cambrosi@bancor.com.ar;jmarce@bancor.com.ar;ffmedina@bancor.com.ar;gnaiman@bancor.com.ar</t>
  </si>
  <si>
    <t>www.bancor.com.ar</t>
  </si>
  <si>
    <t>Arpenta Sociedad de Bolsa S.A.</t>
  </si>
  <si>
    <t>52</t>
  </si>
  <si>
    <t>San Martín 344 - 28º Piso</t>
  </si>
  <si>
    <t>(54 11) 4103-7400</t>
  </si>
  <si>
    <t>info@arpenta.com.ar</t>
  </si>
  <si>
    <t>www.arpentabolsa.sba.com.ar</t>
  </si>
  <si>
    <t>Héctor Luis Scasserra</t>
  </si>
  <si>
    <t>Amirante - Galitis Valores S.A.</t>
  </si>
  <si>
    <t>141</t>
  </si>
  <si>
    <t>Reconquista 458 - 11° Piso</t>
  </si>
  <si>
    <t>C1003ABJ</t>
  </si>
  <si>
    <t>(54 11) 5272-6500</t>
  </si>
  <si>
    <t>(54 11) 5093-6563</t>
  </si>
  <si>
    <t>www.agonline.com.ar</t>
  </si>
  <si>
    <t xml:space="preserve">Edgardo Carlos Serafini </t>
  </si>
  <si>
    <t>HSBC Bank Argentina S.A.</t>
  </si>
  <si>
    <t>167</t>
  </si>
  <si>
    <t>Florida 201</t>
  </si>
  <si>
    <t>C1005 AAE</t>
  </si>
  <si>
    <t xml:space="preserve">(54 11) 0810-333-4722 </t>
  </si>
  <si>
    <t>argentina.gmobonos@hsbc.com.ar;esteban.bertella@hsbc.com.ar;federico.alcalde@hsbc.com.ar;ana.loccisano@hsbc.com.ar;martin.castagna@hsbc.com.ar;diego.sauro@hsbc.com.ar</t>
  </si>
  <si>
    <t>www.hsbc.com.ar</t>
  </si>
  <si>
    <t>Mayoral Bursátil S.C.</t>
  </si>
  <si>
    <t>151</t>
  </si>
  <si>
    <t xml:space="preserve">Florida 142 - 8º Piso  Of. O, P, Q (Galería Boston) </t>
  </si>
  <si>
    <t xml:space="preserve">C1005AAD </t>
  </si>
  <si>
    <t>(54 11) 4326-9288/8380</t>
  </si>
  <si>
    <t>mayoralbursatil@yahoo.com.ar</t>
  </si>
  <si>
    <t>www.mayoralbursatil.com.ar/</t>
  </si>
  <si>
    <t>Mar Del Plata Bursátil</t>
  </si>
  <si>
    <t>140</t>
  </si>
  <si>
    <t>Av. Roque Sáenz Peña 788 - 9º Piso</t>
  </si>
  <si>
    <t>C1004AAM</t>
  </si>
  <si>
    <t>(54 223) 5616000 / 5616003</t>
  </si>
  <si>
    <t>mdpb@bcmdp.com.ar;gbolsa@bcmdp.com.ar</t>
  </si>
  <si>
    <t>www.mdpbursatil.com.ar</t>
  </si>
  <si>
    <t>Jorge Néstor Vives</t>
  </si>
  <si>
    <t>Multifinanzas Compañía Financiera S.A.</t>
  </si>
  <si>
    <t>534</t>
  </si>
  <si>
    <t>Sarmiento 448</t>
  </si>
  <si>
    <t>(54 11) 5127-2983 / 2989</t>
  </si>
  <si>
    <t>(54 11) 5127-2969</t>
  </si>
  <si>
    <t>gpingitore@multifinanzas.com.ar;fvalletta@multifinanzas.com.ar;mstier@multifinanzas.com.ar;Ddcarano@multifinanzas.com.ar;danfuso@multifinanzas.com.ar</t>
  </si>
  <si>
    <t>www.multifinanzas.com.ar</t>
  </si>
  <si>
    <t>Banco Hipotecario S.A.</t>
  </si>
  <si>
    <t>40</t>
  </si>
  <si>
    <t>Reconquista 151</t>
  </si>
  <si>
    <t>(54 11) 4347 – 5721 / 4347 – 5654 / 4347 - 5152</t>
  </si>
  <si>
    <t>domerino@hipotecario.com.ar;hfinkelstein@hipotecario.com.ar;ccorreaurquiza@hipotecario.com.ar</t>
  </si>
  <si>
    <t>www.hipotecario.com.ar</t>
  </si>
  <si>
    <t>ProAcción SBSA</t>
  </si>
  <si>
    <t>249</t>
  </si>
  <si>
    <t xml:space="preserve">Juana Manso 1750 - Piso 5° Sur - Torre Esmeralda - Complejo Zencity  - Puerto Madero - </t>
  </si>
  <si>
    <t>(54 11) 3220-3669 (54 11) 4849-5641</t>
  </si>
  <si>
    <t>consultas@pro-accion.com.ar;nalberto@pro-accion.com.ar;kandreetta@pro-accion.com.ar;gnunez@pro-accion.com.ar;sgrondona@pro-accion.com.ar</t>
  </si>
  <si>
    <t>www.pro-accion.com.ar</t>
  </si>
  <si>
    <t>Rabello y Cía. S.A.</t>
  </si>
  <si>
    <t>505</t>
  </si>
  <si>
    <t>Av. Corrientes 345 - 11º Piso</t>
  </si>
  <si>
    <t>(54 11) 4313-2209</t>
  </si>
  <si>
    <t>(54 11) 4313-2407</t>
  </si>
  <si>
    <t>mesa@rabello.com;rabello@rabello.com</t>
  </si>
  <si>
    <t>www.rabello.com</t>
  </si>
  <si>
    <t>Mariano González Moreno</t>
  </si>
  <si>
    <t>Neix Sociedad de Bolsa S.A.</t>
  </si>
  <si>
    <t>145</t>
  </si>
  <si>
    <t>Sucre 2425 - Piso 1° Oficina 8</t>
  </si>
  <si>
    <t>B1643</t>
  </si>
  <si>
    <t>(54 11) 4859-1552</t>
  </si>
  <si>
    <t>info@neix.com.ar</t>
  </si>
  <si>
    <t>WWW.neix.com.ar</t>
  </si>
  <si>
    <t>Deal S.A.</t>
  </si>
  <si>
    <t>524</t>
  </si>
  <si>
    <t>Carlos Pellegrini 989 - Piso 10</t>
  </si>
  <si>
    <t>C1009ABS</t>
  </si>
  <si>
    <t>(54 11) 5258-3325</t>
  </si>
  <si>
    <t>ga@dealfs.com.ar;aa@dealfs.com.ar;tm@dealfs.com.ar;gs@dealfs.com.ar</t>
  </si>
  <si>
    <t>Aeromar Bursátil Soc. de Bolsa S.A.</t>
  </si>
  <si>
    <t>171</t>
  </si>
  <si>
    <t>Florida 375 - Piso 2º - Oficina D</t>
  </si>
  <si>
    <t>C1043AAX</t>
  </si>
  <si>
    <t>(54 11) 4326-6350/6362</t>
  </si>
  <si>
    <t>joseq@aeromarvalores.com.ar;oscarc@aeromarvalores.com.ar;eduardor@aeromarvalores.com.ar</t>
  </si>
  <si>
    <t>www.aeromarvalores.com.ar</t>
  </si>
  <si>
    <t>José Justo Quiroga</t>
  </si>
  <si>
    <t>Banco Meridian S.A.</t>
  </si>
  <si>
    <t>231</t>
  </si>
  <si>
    <t>Tucumán 821</t>
  </si>
  <si>
    <t>1049 AAQ</t>
  </si>
  <si>
    <t>(54 11) 5436-8552/8641/8550/8574/8572</t>
  </si>
  <si>
    <t>(54 11) 5436-8600</t>
  </si>
  <si>
    <t>lcomelles@bancomeridian.com.ar;rfont@bancomeridian.com.ar;ggiraldez@bancomeridian.com.ar;fcastronuevo@bancomeridian.com.ar;sveltri@bancomeridian.com.ar</t>
  </si>
  <si>
    <t>www.bancomeridian.com.ar</t>
  </si>
  <si>
    <t>Finanflower Bursátil S. A.</t>
  </si>
  <si>
    <t>158</t>
  </si>
  <si>
    <t xml:space="preserve">Sarmiento 552 - 14° Piso </t>
  </si>
  <si>
    <t>(54 11) 4394-0043</t>
  </si>
  <si>
    <t>(54 11) 4394-8340</t>
  </si>
  <si>
    <t>finanflower@finanflower.sba.com.ar</t>
  </si>
  <si>
    <t>www.finanflower.sba.com.ar</t>
  </si>
  <si>
    <t>Patricio Ruiz Ocampo</t>
  </si>
  <si>
    <t>BLD S.A.</t>
  </si>
  <si>
    <t>227</t>
  </si>
  <si>
    <t>Madres de Plaza de Mayo 3020 - Piso 14° - Oficina 3</t>
  </si>
  <si>
    <t>(54 341) 446-1700</t>
  </si>
  <si>
    <t>salbanesi@bld.com.ar;edelbianco@bld.com.ar;lgaldeano@bld.com.ar;gneira@bld.com.ar;raparicio@bld.com.ar</t>
  </si>
  <si>
    <t>www.bld.com.ar</t>
  </si>
  <si>
    <t>Banco de la Pampa S.E.M.</t>
  </si>
  <si>
    <t>130</t>
  </si>
  <si>
    <t>Pellegrini 255</t>
  </si>
  <si>
    <t>L6300DRE</t>
  </si>
  <si>
    <t>Santa Rosa - La Pampa</t>
  </si>
  <si>
    <t xml:space="preserve">(54 11) 4329-3171 o 4329-3100 interno 3361  </t>
  </si>
  <si>
    <t>(54 11) 4329-3113</t>
  </si>
  <si>
    <t>titulos@bancodelapampa.com.ar;correoFinanzas@bancodelapampa.com.ar;reginformativo@bancodelapampa.com.ar</t>
  </si>
  <si>
    <t>www.bancodelapampa.com.ar</t>
  </si>
  <si>
    <t>Santander Río Valores S.A.</t>
  </si>
  <si>
    <t>252</t>
  </si>
  <si>
    <t>Bme. Mitre 480 - 5º Piso</t>
  </si>
  <si>
    <t>C1036AAC</t>
  </si>
  <si>
    <t>(54 11) 4341-1000 int 5191 y 4341-1052/53</t>
  </si>
  <si>
    <t>(54 11) 4341-1524</t>
  </si>
  <si>
    <t>ptavelli@santanderrio.com.ar;atremonti@santanderrio.com.ar;dberenstein@santanderrio.com.ar</t>
  </si>
  <si>
    <t>www.santander.sba.com.ar</t>
  </si>
  <si>
    <t>Pablo Tavelli</t>
  </si>
  <si>
    <t>Bolsa de Comercio del Chaco</t>
  </si>
  <si>
    <t>7</t>
  </si>
  <si>
    <t>Arturo Frondizi 174 - Piso 7º</t>
  </si>
  <si>
    <t>3500</t>
  </si>
  <si>
    <t>Resistencia</t>
  </si>
  <si>
    <t xml:space="preserve">0800 777 BOLSA (2657); (54 362) 444-1147 / 443-3330 / 445-0710 </t>
  </si>
  <si>
    <t>info@bcch.org.ar;pscuffi@bcch.org.ar;aaguirre@bcch.org.ar;jbarrioscima@bcch.org.ar;lcazes@bcch.org.ar</t>
  </si>
  <si>
    <t xml:space="preserve">www.bcch.org.ar </t>
  </si>
  <si>
    <t>Miguel J. Carril S.A.</t>
  </si>
  <si>
    <t>206</t>
  </si>
  <si>
    <t>25 de Mayo 347 - 6° Piso Of. 613</t>
  </si>
  <si>
    <t>(54 11) 4311-4505 y 4312-8328 y 4313-7790</t>
  </si>
  <si>
    <t>(54 11) 4313-8641</t>
  </si>
  <si>
    <t>mcarrill@carril.sba.com.ar</t>
  </si>
  <si>
    <t>www.carrilsa.sba.com.ar</t>
  </si>
  <si>
    <t>Sociedad Militar Seguro de Vida Institución Mutualista</t>
  </si>
  <si>
    <t>258</t>
  </si>
  <si>
    <t>Av. Córdoba 1674</t>
  </si>
  <si>
    <t>(54 11) 4129-4000 int. 85943/85947/85948/85949</t>
  </si>
  <si>
    <t>(54 11) 4129-4287</t>
  </si>
  <si>
    <t>jdiaz@smsv.com.ar;lfigari@smsv.com.ar;apereira@smsv.com.ar;acirio@smsv.com.ar;titulosyvalores@smsv.com.ar</t>
  </si>
  <si>
    <t>www.smsv.com.ar</t>
  </si>
  <si>
    <t>Opción Agro S.R.L.</t>
  </si>
  <si>
    <t>133</t>
  </si>
  <si>
    <t xml:space="preserve">Av. Corrientes 127 - Piso 6º - Oficina 610/1 </t>
  </si>
  <si>
    <t>(54 11) 4515-8300/200 interno 3449 - 5237-4215</t>
  </si>
  <si>
    <t>info@opcionagro.com.ar;jcalonso@opcionagro.com.ar;mm@opcionagro.com.ar;francisco@opcionagro.com.ar;jimena@opcionagro.com.ar</t>
  </si>
  <si>
    <t>www.opcionagro.com.ar</t>
  </si>
  <si>
    <t xml:space="preserve">Cía. Gral. de Valores Mobiliarios S.A. </t>
  </si>
  <si>
    <t>182</t>
  </si>
  <si>
    <t>25 de Mayo 432 - 14° Piso</t>
  </si>
  <si>
    <t>C1002ABJ</t>
  </si>
  <si>
    <t>(54 11) 4313-4188/4333</t>
  </si>
  <si>
    <t>(54 11) 4313-4288</t>
  </si>
  <si>
    <t>159@cgvm.com.ar;aletur@cgvm.com.ar</t>
  </si>
  <si>
    <t>www.cgvm.sba.com.ar</t>
  </si>
  <si>
    <t>Roberto Eugenio Arieu</t>
  </si>
  <si>
    <t>Latinbonos Sociedad de Bolsa S.A.</t>
  </si>
  <si>
    <t>199</t>
  </si>
  <si>
    <t>Av. Corrientes 456 - Piso 17° Of. 173</t>
  </si>
  <si>
    <t>(54 11) 4322-7908</t>
  </si>
  <si>
    <t>(54 11) 4322-7912</t>
  </si>
  <si>
    <t>mercado@latinbonos.com.ar;info@latinbonos.com.ar</t>
  </si>
  <si>
    <t>BLD Finanzas S.A.</t>
  </si>
  <si>
    <t>88</t>
  </si>
  <si>
    <t>Av. Madres de Plaza de Mayo 3020 - Piso 14°</t>
  </si>
  <si>
    <t>fpersoglia@bld.com.ar;fvanzini@bld.com.ar;raparicio@bld.com.ar;vvela@bld.com.ar;mblanco@bld.com.ar</t>
  </si>
  <si>
    <t>www.bld.com.ar/</t>
  </si>
  <si>
    <t>Prosecurities S.A.</t>
  </si>
  <si>
    <t>30</t>
  </si>
  <si>
    <t>Sarmiento 543</t>
  </si>
  <si>
    <t>C1041AAK</t>
  </si>
  <si>
    <t>(54 11) 3221-6800</t>
  </si>
  <si>
    <t>(54 11) 4328-9828</t>
  </si>
  <si>
    <t>info@provalor.com.ar</t>
  </si>
  <si>
    <t>www.provalor.com.ar</t>
  </si>
  <si>
    <t>José Alex Ariel Fallas</t>
  </si>
  <si>
    <t>Megatendencias S.A.</t>
  </si>
  <si>
    <t>93</t>
  </si>
  <si>
    <t>Av. Corrientes 524 11° Piso</t>
  </si>
  <si>
    <t>1043</t>
  </si>
  <si>
    <t>5238-8899</t>
  </si>
  <si>
    <t>megatendencias@megatendencias.com.ar</t>
  </si>
  <si>
    <t>Tutelar Bursátil Sociedad de Bolsa S.A.</t>
  </si>
  <si>
    <t>248</t>
  </si>
  <si>
    <t>Sarmiento 356 - 2º Piso</t>
  </si>
  <si>
    <t>C1002ABE</t>
  </si>
  <si>
    <t>(54 11) 5554-5800 5554-5826/27/28/29</t>
  </si>
  <si>
    <t>(54 11) 5554-5802</t>
  </si>
  <si>
    <t>tutelarbursatil@tutelar.com.ar;sergiozuccolo@tutelar.com.ar;cubela@tutelar.com.ar;tutelarbursatil@tutelar.com.ar</t>
  </si>
  <si>
    <t>www.tutelarbursatil.com.ar</t>
  </si>
  <si>
    <t>Pablo Cubela</t>
  </si>
  <si>
    <t>Global Agro Bróker S.A.</t>
  </si>
  <si>
    <t>327</t>
  </si>
  <si>
    <t>Av. Córdoba 679 - Piso 1°</t>
  </si>
  <si>
    <t>1054</t>
  </si>
  <si>
    <t>(54-11) 4894-0247/8</t>
  </si>
  <si>
    <t>sp@globalagro.com.ar;ax@globalagro.com.ar;aldana@globalagro.com.ar</t>
  </si>
  <si>
    <t>www.globalagro.com.ar</t>
  </si>
  <si>
    <t>Piano Bursátil S.A.</t>
  </si>
  <si>
    <t>58</t>
  </si>
  <si>
    <t>San Martin 345 - 2º Piso</t>
  </si>
  <si>
    <t xml:space="preserve">C1004AAP </t>
  </si>
  <si>
    <t>(54 11) 4322-1511/5382/7692/8348/8358 (54 11) 4394 - 6891</t>
  </si>
  <si>
    <t>(54 11) 4325-6776</t>
  </si>
  <si>
    <t>rejalife@xlnet.com.ar;sguerrer@pai.sba.com.ar</t>
  </si>
  <si>
    <t>www.pianobursatil.com.ar</t>
  </si>
  <si>
    <t>Francisco O. Ribeiro Mendonca</t>
  </si>
  <si>
    <t>Facimex Valores S.A.</t>
  </si>
  <si>
    <t>99</t>
  </si>
  <si>
    <t xml:space="preserve">Olga Cossenttini 831 - 1º Piso Edificio Porteño Plaza II </t>
  </si>
  <si>
    <t>C1107BVA</t>
  </si>
  <si>
    <t>(54 11) 4516-0800 (líneas rotativas)</t>
  </si>
  <si>
    <t>(54 11) 4313-5007</t>
  </si>
  <si>
    <t>info@facimex.com.ar</t>
  </si>
  <si>
    <t>www.facimex.com.ar/es/</t>
  </si>
  <si>
    <t>Carlos M.  Cappella; Horacio A. Bordo</t>
  </si>
  <si>
    <t>109</t>
  </si>
  <si>
    <t>Itaú Valores S.A.</t>
  </si>
  <si>
    <t>350</t>
  </si>
  <si>
    <t xml:space="preserve">Agente de Negociación </t>
  </si>
  <si>
    <t xml:space="preserve">Victoria Ocampo 360 – 6° Piso  </t>
  </si>
  <si>
    <t>C1107DAB</t>
  </si>
  <si>
    <t>(54 11) 4378-8505</t>
  </si>
  <si>
    <t>itauvalores@itau.com.ar</t>
  </si>
  <si>
    <t>www.itau.com.ar</t>
  </si>
  <si>
    <t>Pedro Andrés Chavance</t>
  </si>
  <si>
    <t>CSB S. A.</t>
  </si>
  <si>
    <t>319</t>
  </si>
  <si>
    <t xml:space="preserve">25 de Mayo 359 - 16° Piso </t>
  </si>
  <si>
    <t>C1002ABD</t>
  </si>
  <si>
    <t>(54 11) 4313-9926/9939 y 4312-8467</t>
  </si>
  <si>
    <t>Int. 105</t>
  </si>
  <si>
    <t>dcirillo@172.sba.com.ar;csb@172.sba.com.ar</t>
  </si>
  <si>
    <t>www.csbsa.sba.com.ar</t>
  </si>
  <si>
    <t>Diego Cirillo</t>
  </si>
  <si>
    <t>Napoli Inversiones S.A.</t>
  </si>
  <si>
    <t>164</t>
  </si>
  <si>
    <t>Reconquista 365 - 6º Piso</t>
  </si>
  <si>
    <t xml:space="preserve">C1003ADG </t>
  </si>
  <si>
    <t>(54 11) 4394-2254 / 6436/4986/2825/6196/2813</t>
  </si>
  <si>
    <t>(54 11) 4325-9667</t>
  </si>
  <si>
    <t>jinapoli@bloomberg.net</t>
  </si>
  <si>
    <t>www.napolisb.com.ar</t>
  </si>
  <si>
    <t>Juan Ignacio Napoli</t>
  </si>
  <si>
    <t>Emebur S. A. Sociedad de Bolsa</t>
  </si>
  <si>
    <t>511</t>
  </si>
  <si>
    <t xml:space="preserve">Sarmiento 412 - Piso 3° Of. 301 </t>
  </si>
  <si>
    <t>(54 11) 4394-0091/9918</t>
  </si>
  <si>
    <t>emebur@emebur.sba.com.ar</t>
  </si>
  <si>
    <t>www.emebur.sba.com.ar/</t>
  </si>
  <si>
    <t xml:space="preserve">Guillermo A  Lolla </t>
  </si>
  <si>
    <t>Rey López Bursátil S.A.</t>
  </si>
  <si>
    <t>168</t>
  </si>
  <si>
    <t xml:space="preserve">25 de Mayo 267 - 6º Piso Of. 35 </t>
  </si>
  <si>
    <t>(54 11) 4331-2247</t>
  </si>
  <si>
    <t>(54 11) 4331-4372</t>
  </si>
  <si>
    <t>reylopez@reylopez.sba.com.ar</t>
  </si>
  <si>
    <t>www.reylopez.sba.com.ar</t>
  </si>
  <si>
    <t>Angel Rey López (h)</t>
  </si>
  <si>
    <t>Schweber Securities S.A.</t>
  </si>
  <si>
    <t>143</t>
  </si>
  <si>
    <t>Av. Leandro N. Alem 530 - 6to. Piso</t>
  </si>
  <si>
    <t>C1001AAN</t>
  </si>
  <si>
    <t>(54 11) 4139-5500 (Líneas rotativas)_x000D_
(54 11) 4313-3532 _x000D_
(54 11) 4313-4071</t>
  </si>
  <si>
    <t>(54 11) 4139-5500 (Líneas Rotativas)</t>
  </si>
  <si>
    <t>info@schweberycia.com.ar</t>
  </si>
  <si>
    <t>www.schweberycia.com.ar/</t>
  </si>
  <si>
    <t>Alexander Zawadzki; Irene R. Zawadzki; Mario A. Zawadzki</t>
  </si>
  <si>
    <t>Banco Itaú Argentina S.A.</t>
  </si>
  <si>
    <t>70</t>
  </si>
  <si>
    <t>Victoria Ocampo 360</t>
  </si>
  <si>
    <t>(54 11) 4378-8476</t>
  </si>
  <si>
    <t>info@itau.com.ar</t>
  </si>
  <si>
    <t>Agencia de Liquidación y Compensación Córdoba S.A.</t>
  </si>
  <si>
    <t>256</t>
  </si>
  <si>
    <t>Rosario de Santa Fe 231 - Piso 9° - Oficina 9 - Barrio Centro</t>
  </si>
  <si>
    <t>(54 351) 4262719 - 4263981</t>
  </si>
  <si>
    <t>alycorinversiones@gmail.com;alycor3@gmail.com;escalera@arnetbiz.com.ar;foliva@gruposcarafia.com.ar;delacosta@afincor.com.ar</t>
  </si>
  <si>
    <t>BACS Banco de Crédito y Securitización S.A.</t>
  </si>
  <si>
    <t>25</t>
  </si>
  <si>
    <t>Tucumán 1 - Piso 19°</t>
  </si>
  <si>
    <t xml:space="preserve">(54-11) 4329-4200  </t>
  </si>
  <si>
    <t>(54-11) 4329-4282</t>
  </si>
  <si>
    <t>gmtodeschini@bacs.com.ar;flanusmartinez@bacs.com.ar;mfarias@bacs.com.ar;fbellettieri@bacs.com.ar;fziade@bacs.com.ar</t>
  </si>
  <si>
    <t>www.bacs.com.ar</t>
  </si>
  <si>
    <t>Rava Bursátil S.A.</t>
  </si>
  <si>
    <t>332</t>
  </si>
  <si>
    <t>25 de Mayo 277 - 5º Piso</t>
  </si>
  <si>
    <t>(54 11) 4343-9421 y 4342-4789/4158/0923</t>
  </si>
  <si>
    <t>info@ravaonline.com</t>
  </si>
  <si>
    <t>www.ravaonline.com</t>
  </si>
  <si>
    <t>Alfredo A.  Rava</t>
  </si>
  <si>
    <t>Industrial and Commercial Bank of China (Argentina) S.A.</t>
  </si>
  <si>
    <t>74</t>
  </si>
  <si>
    <t>Florida 99</t>
  </si>
  <si>
    <t>C1005AAA</t>
  </si>
  <si>
    <t>(54 11) 4820-2000</t>
  </si>
  <si>
    <t>www.icbc.com.ar</t>
  </si>
  <si>
    <t>Patente de Valores S.A.</t>
  </si>
  <si>
    <t>238</t>
  </si>
  <si>
    <t xml:space="preserve">Reconquista 336 - 9º Piso Of. U </t>
  </si>
  <si>
    <t>(54 11) 4394-7438 y 4393-6643/6582/6817</t>
  </si>
  <si>
    <t>patente@patente.sba.com.ar</t>
  </si>
  <si>
    <t>www.patentedevalores.com.ar</t>
  </si>
  <si>
    <t>Federico Spraggon Hernandez</t>
  </si>
  <si>
    <t>Toro Valores Sociedad de Bolsa S.A.</t>
  </si>
  <si>
    <t>137</t>
  </si>
  <si>
    <t>Av. Roque Saenz Peña 628 - Piso 5° - Oficina A</t>
  </si>
  <si>
    <t>(54 11) 5032-3361 / 3362</t>
  </si>
  <si>
    <t>info@torovalores.com;vhvega@torovalores.com;elatorre@torovalores.com;pilargil@torovalores.com;mp@torovalores.com</t>
  </si>
  <si>
    <t>www.torovalores.com</t>
  </si>
  <si>
    <t>Servente y Cía. S.A.</t>
  </si>
  <si>
    <t>131</t>
  </si>
  <si>
    <t>25 de Mayo 332 - 7º Piso</t>
  </si>
  <si>
    <t>C1002ABH</t>
  </si>
  <si>
    <t>(54 11) 4325-3810/1530/0511</t>
  </si>
  <si>
    <t>aservente@servente.sba.com.ar;agservente@servente.sba.com.ar;servente@servente.sba.com.ar</t>
  </si>
  <si>
    <t>www.homebolsa.com.ar; www.serventeycia.com.ar/</t>
  </si>
  <si>
    <t>Calle 48 N° 520 - Piso 1 A - La Plata</t>
  </si>
  <si>
    <t>Andrés Gustavo Servente</t>
  </si>
  <si>
    <t>Mario S. Fernandez y Cía S. A</t>
  </si>
  <si>
    <t>104</t>
  </si>
  <si>
    <t>25 de Mayo 332 - 2º Piso</t>
  </si>
  <si>
    <t>(54 11) 4325-4890/0127/4685</t>
  </si>
  <si>
    <t>mariofernandez@fernandez.sba.com.ar</t>
  </si>
  <si>
    <t>www.mariofernandezsa.com</t>
  </si>
  <si>
    <t>Mario S. Fernández</t>
  </si>
  <si>
    <t>Compañía Global de Inversiones S.A.</t>
  </si>
  <si>
    <t>144</t>
  </si>
  <si>
    <t>Juan María Gutierrez 3765 - 5° Piso - Of. 502</t>
  </si>
  <si>
    <t>C1425ARA</t>
  </si>
  <si>
    <t>(54 11) 4843-7410</t>
  </si>
  <si>
    <t>scf@globalinversiones.com.ar</t>
  </si>
  <si>
    <t>www.globalinversiones.com.ar</t>
  </si>
  <si>
    <t>Mario Septimio Rossi</t>
  </si>
  <si>
    <t>Guardati Torti S.A.</t>
  </si>
  <si>
    <t>97</t>
  </si>
  <si>
    <t>Torres Nordlink - Madres de Plaza de Mayo 3020 - 13° Piso - Oficina 2 y 3</t>
  </si>
  <si>
    <t>(54 341) 436-2500</t>
  </si>
  <si>
    <t>grupogyt@gyt.com</t>
  </si>
  <si>
    <t>www.gyt.com</t>
  </si>
  <si>
    <t>Enrique R. Zeni y Cía. SACIAFeI</t>
  </si>
  <si>
    <t>33</t>
  </si>
  <si>
    <t>Arias 1639 - Piso 11°</t>
  </si>
  <si>
    <t>1429</t>
  </si>
  <si>
    <t>(54 11) 4700-5000</t>
  </si>
  <si>
    <t>info@zeni.com.ar;pmeza@zeni.com.ar;aantonelli@zeni.com.ar</t>
  </si>
  <si>
    <t>www.zeni.com.ar</t>
  </si>
  <si>
    <t>Eurovalores Sociedad de Bolsa S.A.</t>
  </si>
  <si>
    <t>200</t>
  </si>
  <si>
    <t>25 de Mayo 293 - Piso 8</t>
  </si>
  <si>
    <t>(54 11) 4331-8484/85</t>
  </si>
  <si>
    <t>empresa@eurovalores.com.ar</t>
  </si>
  <si>
    <t>www.eurovalores.sba.com.ar</t>
  </si>
  <si>
    <t>Diego Fernando José Malamute</t>
  </si>
  <si>
    <t>Listro Valores S.A.</t>
  </si>
  <si>
    <t>155</t>
  </si>
  <si>
    <t>Corrientes 791 Piso 3º Of. G</t>
  </si>
  <si>
    <t>S2000CTG</t>
  </si>
  <si>
    <t>Rosario - Santa Fe – Argentina</t>
  </si>
  <si>
    <t xml:space="preserve">Tel.Fax. (54-341) 4256116 </t>
  </si>
  <si>
    <t>info@listrovalores.com</t>
  </si>
  <si>
    <t>www.listrovalores.com</t>
  </si>
  <si>
    <t>Banco Macro S.A.</t>
  </si>
  <si>
    <t>27</t>
  </si>
  <si>
    <t>Bull Market Brokers S.A.</t>
  </si>
  <si>
    <t>247</t>
  </si>
  <si>
    <t>Bouchard 680 – 8vo. Piso</t>
  </si>
  <si>
    <t>(54 11) 5353-4420 (líneas rotativas)</t>
  </si>
  <si>
    <t>info@bullmarketbrokers.com</t>
  </si>
  <si>
    <t>www.bullmarketbrokers.com</t>
  </si>
  <si>
    <t>Francisco E. Marra</t>
  </si>
  <si>
    <t>Santamarina Valores S.A. Sociedad de Bolsa</t>
  </si>
  <si>
    <t>176</t>
  </si>
  <si>
    <t xml:space="preserve">25 de Mayo 267 - 8º Piso </t>
  </si>
  <si>
    <t>(54 11) 4343-9939/9946 y 4342-3346</t>
  </si>
  <si>
    <t>santamarina@santamarinabolsa.sba.com.ar</t>
  </si>
  <si>
    <t>www.santamarinabolsa.sba.com.ar/</t>
  </si>
  <si>
    <t>Eduardo A. Santamarina</t>
  </si>
  <si>
    <t>Transatlántica S.A. Bursátil</t>
  </si>
  <si>
    <t>112</t>
  </si>
  <si>
    <t>Peat. Córdoba 1463 - Planta Alta</t>
  </si>
  <si>
    <t>(54-341) 528-3840 / 424-8170</t>
  </si>
  <si>
    <t>eantuna@transatlantica.com.ar;lgrigera@transatlantica.com.ar;mbattaglia@transatlantica.com.ar;mvenini@transatlantica.com.ar;rspalletta@transatlantica.com.ar</t>
  </si>
  <si>
    <t>www.tsabursatil.com</t>
  </si>
  <si>
    <t>Invertir en Bolsa S.A.</t>
  </si>
  <si>
    <t>246</t>
  </si>
  <si>
    <t>Avenida Del Libertador 498 - Piso 10°</t>
  </si>
  <si>
    <t>1001</t>
  </si>
  <si>
    <t>(54 11) 5353-5500</t>
  </si>
  <si>
    <t>dcourmanian@invertirenbolsa.com.ar;smartinez@invertirenbolsa.com.ar;eserafini@invertirenbolsa.com.ar;mbeller@invertirenbolsa.com.ar;iabuchdid@invertirenbolsa.com.ar</t>
  </si>
  <si>
    <t>www.invertirenbolsa.com.ar</t>
  </si>
  <si>
    <t>Federal Bursátil Sociedad de Bolsa S.A.</t>
  </si>
  <si>
    <t>197</t>
  </si>
  <si>
    <t xml:space="preserve">25 de Mayo 347 - Piso 3° - Oficina 318 </t>
  </si>
  <si>
    <t>(54 11) 4516-0959</t>
  </si>
  <si>
    <t>adrian@federalbursatil.com.ar;gonzalo@federalbursatil.com.ar;harry@federalbursatil.com.ar;ricardo@federalbursatil.com.ar;federalbursatil@hotmail.com</t>
  </si>
  <si>
    <t>www.federalbursatil.com.ar</t>
  </si>
  <si>
    <t>Tavelli y Cía. S. A.</t>
  </si>
  <si>
    <t>170</t>
  </si>
  <si>
    <t>25 de Mayo 267 - 2º y 7º Piso</t>
  </si>
  <si>
    <t>(54 11) 4343-7966 (linea rotativa)</t>
  </si>
  <si>
    <t>(54 11) 4342-9055</t>
  </si>
  <si>
    <t>clientes@tavelli.com.ar</t>
  </si>
  <si>
    <t>www.tavelli.com.ar/</t>
  </si>
  <si>
    <t>Guido Mariano Tavelli</t>
  </si>
  <si>
    <t>Intervalores Group S. A.</t>
  </si>
  <si>
    <t>334</t>
  </si>
  <si>
    <t>(54 11) 5218-4893 y líneas rotativas</t>
  </si>
  <si>
    <t>(54 11) 4394 2375</t>
  </si>
  <si>
    <t>intervalores@intervalores.sba.com.ar</t>
  </si>
  <si>
    <t>www.intervaloresnet.com.ar/</t>
  </si>
  <si>
    <t>Jorge A. Collazo</t>
  </si>
  <si>
    <t>Alycbur S.A.</t>
  </si>
  <si>
    <t>207</t>
  </si>
  <si>
    <t>25 de Mayo 356 4to Piso</t>
  </si>
  <si>
    <t>(54 11) 4328-4153 y líneas rotativas</t>
  </si>
  <si>
    <t>info@alycbur.com</t>
  </si>
  <si>
    <t>www.alycbur.com</t>
  </si>
  <si>
    <t>Futuro Bursátil Sociedad de Bolsa S.A.</t>
  </si>
  <si>
    <t>336</t>
  </si>
  <si>
    <t>Reconquista 365 – 2° Piso Of. “B”</t>
  </si>
  <si>
    <t>(54 11) 5-252-0400</t>
  </si>
  <si>
    <t>info@fbsb.com.ar</t>
  </si>
  <si>
    <t>www.futurobursatil.com.ar/</t>
  </si>
  <si>
    <t>Carlos Enrique Arhancet</t>
  </si>
  <si>
    <t>Brio Valores ALyC S.A.</t>
  </si>
  <si>
    <t>512</t>
  </si>
  <si>
    <t xml:space="preserve">Corrientes 791 - Piso 3º - Oficina “F” </t>
  </si>
  <si>
    <t>(54 341) – 5275351/ 5275352</t>
  </si>
  <si>
    <t>carlos@rodriguezansaldi.com.ar;bortolato@sociosbcr.com.ar;lrubiolo@grupooneto.com.ar;ignacioroth@briovalores.com</t>
  </si>
  <si>
    <t>www.briovalores.com</t>
  </si>
  <si>
    <t>Luis Domingo Truco S. A.</t>
  </si>
  <si>
    <t>216</t>
  </si>
  <si>
    <t xml:space="preserve">Tucuman 335 - 4º Piso Of. D y E </t>
  </si>
  <si>
    <t>C1049AAG</t>
  </si>
  <si>
    <t>(54 11) 4311-7680 y 4313-4092/6721/6962</t>
  </si>
  <si>
    <t>info@trucco.sba.com.ar;ricardotrucco@trucco.sba.com.ar;trucco@trucco.sba.com.ar</t>
  </si>
  <si>
    <t>www.trucco.sba.com.ar</t>
  </si>
  <si>
    <t>Ricardo M. P. Trucco</t>
  </si>
  <si>
    <t>Ubertone y Cía. Sociedad de Bolsa S.A.</t>
  </si>
  <si>
    <t>136</t>
  </si>
  <si>
    <t>Tte. Juan Domingo Peron 315 - 4º Piso Of. 497</t>
  </si>
  <si>
    <t>C1038AAG</t>
  </si>
  <si>
    <t>(54 11) 4331-7987/8/2856</t>
  </si>
  <si>
    <t>(54 11) 4331-7987</t>
  </si>
  <si>
    <t>aubertone@ubertone.sba.com.ar</t>
  </si>
  <si>
    <t>www.ubertone.sba.com.ar</t>
  </si>
  <si>
    <t>Alberto H. Ubertone</t>
  </si>
  <si>
    <t>Rosental S.A.</t>
  </si>
  <si>
    <t>313</t>
  </si>
  <si>
    <t>Córdoba 1441</t>
  </si>
  <si>
    <t>S2000AWU</t>
  </si>
  <si>
    <t>(54 341) 420-7500</t>
  </si>
  <si>
    <t>(54 341) 425-6303</t>
  </si>
  <si>
    <t>juan.perpen@rosental.com;diego.valongo@rosental.com;ariel.cortazar@rosental.com;santiago.jove@rosental.com;mariela.sanchez@rosental.com;jorgelina.vallejo@rosental.com</t>
  </si>
  <si>
    <t>www.rosental.com</t>
  </si>
  <si>
    <t>Financial Net Negociación y Valores S.A.</t>
  </si>
  <si>
    <t>279</t>
  </si>
  <si>
    <t xml:space="preserve">Reconquista 144 Piso 5º </t>
  </si>
  <si>
    <t>6344-8000</t>
  </si>
  <si>
    <t>6344-8029</t>
  </si>
  <si>
    <t>Diego.anolles@fnsa.com.ar;Valeria.caverzan@fnsa.com.ar;Michael.arndt@fnsa.com.ar;Carlos.mocorrea@fnsa.com.ar;Matias.muratore@fmsa.com.ar</t>
  </si>
  <si>
    <t>www.fnsa.com.ar</t>
  </si>
  <si>
    <t>Zarracán S. A.</t>
  </si>
  <si>
    <t>116</t>
  </si>
  <si>
    <t>Corrientes 465 - 6º Piso</t>
  </si>
  <si>
    <t>(54 11) 4394-2016/2715/2764/2801/2910</t>
  </si>
  <si>
    <t>(54 11) 4322-6999</t>
  </si>
  <si>
    <t>hzarracan@zarracan.sba.com.ar;gzo@zarracan.sba.com.ar;zarracan@arnet.com.ar</t>
  </si>
  <si>
    <t>www.zarracan.sba.com.ar</t>
  </si>
  <si>
    <t>Horacio R. Zarracán</t>
  </si>
  <si>
    <t>C.A. Teuly &amp; Co. Sociedad de Bolsa S.A.</t>
  </si>
  <si>
    <t>280</t>
  </si>
  <si>
    <t>San Martín 140 - 21º Piso</t>
  </si>
  <si>
    <t>Capita Federal</t>
  </si>
  <si>
    <t>(54 11) 4344-8950</t>
  </si>
  <si>
    <t>(54 11) 4345-0114</t>
  </si>
  <si>
    <t>steuly@hotmail.com;agustin@catyco.com.ar;teuly216@iplanmail.com.ar;briscoeclaudio@yahoo.com.ar</t>
  </si>
  <si>
    <t>www.catyco.com.ar</t>
  </si>
  <si>
    <t>Carlos Alberto Teuly</t>
  </si>
  <si>
    <t>Venini Núñez S.A.</t>
  </si>
  <si>
    <t>162</t>
  </si>
  <si>
    <t>25 de Mayo 538 - 5º Piso</t>
  </si>
  <si>
    <t>(54 11) 4311-3153/4593/8031</t>
  </si>
  <si>
    <t>venini@venini.sba.com.ar</t>
  </si>
  <si>
    <t>www.venininunez.com.ar</t>
  </si>
  <si>
    <t>José Enrique Núñez</t>
  </si>
  <si>
    <t>Banco de Galicia y Buenos Aires S.A.</t>
  </si>
  <si>
    <t>22</t>
  </si>
  <si>
    <t>Tte.Gral Juan D. Peron 430</t>
  </si>
  <si>
    <t>C1038AAJ</t>
  </si>
  <si>
    <t xml:space="preserve">(54 11) 6329-2471 / 3127 / 2042 / 4574 / 3439 / 2884/ 4155 / 2814 / 3436 </t>
  </si>
  <si>
    <t>nicolas.bello@bancogalicia.com.ar;mariano.rossini@bancogalicia.com.ar;ariel.sanchez@bancogalicia.com.ar;adelqui.j.rey@bancogalicia.com.ar;laura.cifala@bancogalicia.com.ar;leticia.cabot@bancogalicia.com.ar;carlos.dieta@bancogalicia.com.ar;fernando.c.martin@bancogalicia.com.ar</t>
  </si>
  <si>
    <t>www.bancogalicia.com</t>
  </si>
  <si>
    <t>Longo Elia Bursátil S.A.</t>
  </si>
  <si>
    <t>150</t>
  </si>
  <si>
    <t>25 de Mayo 356 - 2º Piso</t>
  </si>
  <si>
    <t>(54 11) 4328-0020/7097/9457</t>
  </si>
  <si>
    <t>longoelia@lebsa.sba.com.ar</t>
  </si>
  <si>
    <t>www.longoeliabursatil.com.ar</t>
  </si>
  <si>
    <t>Alberto Longo Elía</t>
  </si>
  <si>
    <t>Molinari Bursátil S.A.</t>
  </si>
  <si>
    <t>218</t>
  </si>
  <si>
    <t>Lavalle 407 - 1º Piso</t>
  </si>
  <si>
    <t>(54 11)4393-6796 y 4326-8128</t>
  </si>
  <si>
    <t>molinari@molinari.sba.com.ar</t>
  </si>
  <si>
    <t>www.molinari-sa.com</t>
  </si>
  <si>
    <t>Alberto L. Molinari</t>
  </si>
  <si>
    <t>Banco Finansur S.A.</t>
  </si>
  <si>
    <t>32</t>
  </si>
  <si>
    <t>Sarmiento 700</t>
  </si>
  <si>
    <t>1041CAAN</t>
  </si>
  <si>
    <t>4324-3453/4324-3418/4324-3419</t>
  </si>
  <si>
    <t>clientes@bancofinansur.com.ar;amanograsso@bancofinansur.com.ar;mcadente@bancofinansur.com.ar;spellegatta@bancofinansur.com.ar;lcalvi@bancofinansur.com.ar;jgmargeri@bancofinansur.com.ar;lmieres@bancofinansur.com.ar</t>
  </si>
  <si>
    <t>www.bancofinansur.com.ar</t>
  </si>
  <si>
    <t>GIO Bursátil S.A.</t>
  </si>
  <si>
    <t>92</t>
  </si>
  <si>
    <t>Sarmiento 459 - 1º Piso</t>
  </si>
  <si>
    <t>(54 11) 5983-8000 (líneas rotativas)</t>
  </si>
  <si>
    <t>info@giobursatil.com;santiagob@giobursatil.com;paglog@giobursatil.com</t>
  </si>
  <si>
    <t>www.giobursatil.com</t>
  </si>
  <si>
    <t>Pablo Giovinazzo</t>
  </si>
  <si>
    <t>Banco de la Ciudad de Buenos Aires</t>
  </si>
  <si>
    <t>108</t>
  </si>
  <si>
    <t>Sarmiento 630 - Piso 1°</t>
  </si>
  <si>
    <t>CP1041 AAN</t>
  </si>
  <si>
    <t>(54 11) 4329-8766/8789/8958/8610</t>
  </si>
  <si>
    <t>procesamientofinanciero@bancociudad.com.ar</t>
  </si>
  <si>
    <t>www.bancociudad.com.ar</t>
  </si>
  <si>
    <t>La Sucursal de CITIBANK N.A. establecida en la República Argentina (SUSPENDIDO)</t>
  </si>
  <si>
    <t>29</t>
  </si>
  <si>
    <t>Bartolome Mitre 530- Piso 3°</t>
  </si>
  <si>
    <t>(54 11) 4329-1915/1811/1811/1334/1333/1614</t>
  </si>
  <si>
    <t>oscar.panio@citi.com;jorge.manuel.fernandez@citi.com;sergio.nieto@citi.com;ingrid.gabriela.collazo@citi.com;mercedes.durac@citi.com</t>
  </si>
  <si>
    <t>www.citibank.com.ar</t>
  </si>
  <si>
    <t xml:space="preserve">Guor Investments S.A._x000D_
</t>
  </si>
  <si>
    <t>496</t>
  </si>
  <si>
    <t>Mitre 827 - Piso 1°</t>
  </si>
  <si>
    <t>(54 341)  530-2201 / 530-2202</t>
  </si>
  <si>
    <t>(54 341) 530-2200</t>
  </si>
  <si>
    <t>info@guor.com.ar;dmorici@guor.com.ar</t>
  </si>
  <si>
    <t>www.guor.com.ar</t>
  </si>
  <si>
    <t>Nix Valores S.A.</t>
  </si>
  <si>
    <t>186</t>
  </si>
  <si>
    <t xml:space="preserve">Peltier 50 - Piso 3º - Oficina 36 </t>
  </si>
  <si>
    <t>5500</t>
  </si>
  <si>
    <t>Mendoza</t>
  </si>
  <si>
    <t>(54 261) 424-4571 / 476-2744</t>
  </si>
  <si>
    <t>elonso@nixvalores.com;itittarelli@nixvalores.com;aleiva@nixvalores.com;mesa@nixvalores.com;operaciones@nixvalores.com</t>
  </si>
  <si>
    <t>www.nixvalores.com</t>
  </si>
  <si>
    <t>Porzio Bursátil S.A.</t>
  </si>
  <si>
    <t>326</t>
  </si>
  <si>
    <t>25 de Mayo 347 - 6º Piso Of. 629/631/633</t>
  </si>
  <si>
    <t>(54 11) 4311-6179_x000D_
(54 11) 4311-1537</t>
  </si>
  <si>
    <t>aporzio@porzio.sba.com.ar</t>
  </si>
  <si>
    <t>www.porziobursatil.com</t>
  </si>
  <si>
    <t>Claudio Alejandro Porzio</t>
  </si>
  <si>
    <t>Brancatelli S.A.</t>
  </si>
  <si>
    <t>228</t>
  </si>
  <si>
    <t>Mitre 868 - Entrepiso</t>
  </si>
  <si>
    <t>(54 0341) 440-1215</t>
  </si>
  <si>
    <t>branca@sociosbcr.com.ar</t>
  </si>
  <si>
    <t>brancatellibolsa.com.ar</t>
  </si>
  <si>
    <t>Balanz Capital Sociedad de Bolsa S.A.</t>
  </si>
  <si>
    <t>210</t>
  </si>
  <si>
    <t xml:space="preserve">Av. Corrientes 330 - 3° Piso  Of. 315 </t>
  </si>
  <si>
    <t xml:space="preserve">(54 11) 5276-7000 (Conmutador) _x000D_
(54 11) 5276-7060 / 7040 / 7030 _x000D_
(54 11) 5258-4559 </t>
  </si>
  <si>
    <t>merval@balanz.com</t>
  </si>
  <si>
    <t>www.balanz.com</t>
  </si>
  <si>
    <t>Juan Carlos Bernárdez</t>
  </si>
  <si>
    <t>Bursátil Uspallata S.A.</t>
  </si>
  <si>
    <t>516</t>
  </si>
  <si>
    <t>Sarmiento 459 - Piso 2°</t>
  </si>
  <si>
    <t xml:space="preserve">+54 (11) 4328-6155 / 6036 </t>
  </si>
  <si>
    <t>roberto.gentini@bursatiluspallata.com</t>
  </si>
  <si>
    <t>www.Bursatiluspallata.com</t>
  </si>
  <si>
    <t>INTL CIBSA S.A.</t>
  </si>
  <si>
    <t>47</t>
  </si>
  <si>
    <t xml:space="preserve">Sarmiento 459 - 9° Piso </t>
  </si>
  <si>
    <t>(54 11) 4390-7595 (Conmutador)_x000D_
(54 11) 4390-7574_x000D_
(54 11) 4390-7563_x000D_
(54 11) 4390-7540</t>
  </si>
  <si>
    <t xml:space="preserve">(54 11) 4390-7501 </t>
  </si>
  <si>
    <t>info@cibsa.com</t>
  </si>
  <si>
    <t>www.cibsa.com</t>
  </si>
  <si>
    <t>Orlando F. Parisi</t>
  </si>
  <si>
    <t>Transacciones Agente de Valores S.A.</t>
  </si>
  <si>
    <t>157</t>
  </si>
  <si>
    <t>San Martín 140 - 15º Piso</t>
  </si>
  <si>
    <t>(54 11) 5235-9090 (líneas rotativas)</t>
  </si>
  <si>
    <t>(54 11) 5368-3100</t>
  </si>
  <si>
    <t>info@transaccionesagv.com.ar</t>
  </si>
  <si>
    <t>www.transaccionesonline.com.ar</t>
  </si>
  <si>
    <t>Mitre 537, Pergamino (Pcia. Buenos Aires)</t>
  </si>
  <si>
    <t>Eduardo Ramos Oromí</t>
  </si>
  <si>
    <t>Morandi Valores S.A.</t>
  </si>
  <si>
    <t>123</t>
  </si>
  <si>
    <t>Sarmiento 412 - 7º Piso Of. 702</t>
  </si>
  <si>
    <t xml:space="preserve">C1041AJJ </t>
  </si>
  <si>
    <t>(54 11) 4394 8747</t>
  </si>
  <si>
    <t>morandi@morandi.sba.com.ar;gustavomora@live.com.ar</t>
  </si>
  <si>
    <t>www.morandibolsa.com.ar</t>
  </si>
  <si>
    <t>Jorge Alberto Morandi</t>
  </si>
  <si>
    <t>Banco Patagonia S.A.</t>
  </si>
  <si>
    <t>66</t>
  </si>
  <si>
    <t>Av. de Mayo 701 - Piso 24°</t>
  </si>
  <si>
    <t>1084</t>
  </si>
  <si>
    <t>(54 11) 4132-6048 / 4132-6090 / 4132-6169</t>
  </si>
  <si>
    <t>nsuescun@bancopatagonia.com.ar;levarela@bancopatagonia.com.ar;fmusi@bancopatagonia.com.ar;secretariaejecutiva@bancopatagonia.com.ar</t>
  </si>
  <si>
    <t xml:space="preserve">www.bancopatagonia.com.ar </t>
  </si>
  <si>
    <t>JP Morgan Chase Trading S.A.</t>
  </si>
  <si>
    <t>61</t>
  </si>
  <si>
    <t>Av. Madero 900 - 22º Piso</t>
  </si>
  <si>
    <t>C1106ACV</t>
  </si>
  <si>
    <t>(54 11) 4325-8046 / 4348-3489</t>
  </si>
  <si>
    <t>rodrigo.x.prieto@jpmorgan.com;valeria.e.garfi@jpmorgan.com</t>
  </si>
  <si>
    <t>www.agente244.sba.com.ar</t>
  </si>
  <si>
    <t>Juan Pablo Werner</t>
  </si>
  <si>
    <t>Euro Bursátil S.A.</t>
  </si>
  <si>
    <t>172</t>
  </si>
  <si>
    <t>San Martin 551 - 3º Piso Of. 41 Cuerpo C</t>
  </si>
  <si>
    <t>C1004AAK</t>
  </si>
  <si>
    <t>(54 11) 4326-8212</t>
  </si>
  <si>
    <t>(54 11) 4326-1712</t>
  </si>
  <si>
    <t>info@eurobursatil.com.ar</t>
  </si>
  <si>
    <t>www.eurobursatil.com</t>
  </si>
  <si>
    <t>Aníbal B. Pires Bernardo</t>
  </si>
  <si>
    <t>Banco de Santa Cruz S.A</t>
  </si>
  <si>
    <t>68</t>
  </si>
  <si>
    <t>Avenida Presidente Dr. Néstor Carlos Kirchner N° 812</t>
  </si>
  <si>
    <t>9400</t>
  </si>
  <si>
    <t>Santa Cruz</t>
  </si>
  <si>
    <t>(54 2966) 44-1200 / 44-1238 / 44-1252</t>
  </si>
  <si>
    <t>mloncon@bancosantacruz.com;avasquez@bancosantacruz.com;mrosas@bancosantacruz.com;rgarate@bancosantacruz.com;lalvarez@bancosantacruz.com;sblasco@bancosantacruz.com</t>
  </si>
  <si>
    <t>www.bancosantacruz.com/Pages/</t>
  </si>
  <si>
    <t>Daniel A. Casanovas y Asociados Sociedad de Bolsa S.A.</t>
  </si>
  <si>
    <t>297</t>
  </si>
  <si>
    <t>San Lorenzo 1716 - Piso 1° - Oficina 1</t>
  </si>
  <si>
    <t>(54 341) 445-0500</t>
  </si>
  <si>
    <t>info@cgv.com.ar</t>
  </si>
  <si>
    <t>www.cgv.com.ar</t>
  </si>
  <si>
    <t>Finance S.A. Sociedad de Bolsa</t>
  </si>
  <si>
    <t>262</t>
  </si>
  <si>
    <t>Sarmiento 539 - 4° Piso</t>
  </si>
  <si>
    <t>(54 11) 5236-0593</t>
  </si>
  <si>
    <t>financesa@financesa.com.ar</t>
  </si>
  <si>
    <t>www.financesa.com.ar</t>
  </si>
  <si>
    <t>Gustavo Fernando Benvenuto</t>
  </si>
  <si>
    <t>Enlace López León Brokers S.A.</t>
  </si>
  <si>
    <t>482</t>
  </si>
  <si>
    <t>Agente de Corretaje</t>
  </si>
  <si>
    <t>Sarmiento 459 - Piso 8°</t>
  </si>
  <si>
    <t>(54 11) 5352-1800</t>
  </si>
  <si>
    <t>(54 11) 5352-1801</t>
  </si>
  <si>
    <t>mmartin@enlacelopezleon.com;pkaplun@enlacelopezleon.com</t>
  </si>
  <si>
    <t>www.enlacelopezleon.com</t>
  </si>
  <si>
    <t>GFI Securities S.A.</t>
  </si>
  <si>
    <t>484</t>
  </si>
  <si>
    <t>San Martín 379 - Piso 5°</t>
  </si>
  <si>
    <t>1004</t>
  </si>
  <si>
    <t>(54 11) 4322-0400</t>
  </si>
  <si>
    <t>info.ar@gfigroup.com</t>
  </si>
  <si>
    <t>www.gfigroup.com.ar</t>
  </si>
  <si>
    <t>DelSur Brokers S.A.</t>
  </si>
  <si>
    <t>486</t>
  </si>
  <si>
    <t>Florida 537 - Piso 14°</t>
  </si>
  <si>
    <t>C1005AAK</t>
  </si>
  <si>
    <t>(54 11) 4328-0835</t>
  </si>
  <si>
    <t>(54 11) 4328-8444</t>
  </si>
  <si>
    <t>info@delsurbrokers.com.ar</t>
  </si>
  <si>
    <t>www.delsurbrokers.com.ar</t>
  </si>
  <si>
    <t xml:space="preserve">Tradition Argentina S.A. </t>
  </si>
  <si>
    <t>487</t>
  </si>
  <si>
    <t>Corrientes 456 - Piso 4° Oficina 46</t>
  </si>
  <si>
    <t>(54 11) 4394-0559</t>
  </si>
  <si>
    <t>(54 11) 4394-9081</t>
  </si>
  <si>
    <t>info@tradition-acvn.com</t>
  </si>
  <si>
    <t>www.tradition-acvn.com</t>
  </si>
  <si>
    <t>ICAP Capital Markets Argentina S.A</t>
  </si>
  <si>
    <t>488</t>
  </si>
  <si>
    <t>Reconquista 365 - Pisos 8° y 9° "B"</t>
  </si>
  <si>
    <t>(54 11) 4106-6900</t>
  </si>
  <si>
    <t>(54 11) 4106-6949</t>
  </si>
  <si>
    <t>ICMASA-Merval@icapargentina.com.ar</t>
  </si>
  <si>
    <t xml:space="preserve">www.icapargentina.com.ar </t>
  </si>
  <si>
    <t>6</t>
  </si>
  <si>
    <t>98</t>
  </si>
  <si>
    <t>51</t>
  </si>
  <si>
    <t>1</t>
  </si>
  <si>
    <t>texto</t>
  </si>
  <si>
    <t>VALOR</t>
  </si>
  <si>
    <t>4</t>
  </si>
  <si>
    <t>5</t>
  </si>
  <si>
    <t>8</t>
  </si>
  <si>
    <t>9</t>
  </si>
  <si>
    <t>10</t>
  </si>
  <si>
    <t>12</t>
  </si>
  <si>
    <t>13</t>
  </si>
  <si>
    <t>16</t>
  </si>
  <si>
    <t>17</t>
  </si>
  <si>
    <t>15</t>
  </si>
  <si>
    <t>18</t>
  </si>
  <si>
    <t>19</t>
  </si>
  <si>
    <t>20</t>
  </si>
  <si>
    <t>23</t>
  </si>
  <si>
    <t>38</t>
  </si>
  <si>
    <t>45</t>
  </si>
  <si>
    <t>46</t>
  </si>
  <si>
    <t>48</t>
  </si>
  <si>
    <t>63</t>
  </si>
  <si>
    <t>64</t>
  </si>
  <si>
    <t>67</t>
  </si>
  <si>
    <t>76</t>
  </si>
  <si>
    <t>77</t>
  </si>
  <si>
    <t>79</t>
  </si>
  <si>
    <t>80</t>
  </si>
  <si>
    <t>81</t>
  </si>
  <si>
    <t>82</t>
  </si>
  <si>
    <t>83</t>
  </si>
  <si>
    <t>86</t>
  </si>
  <si>
    <t>87</t>
  </si>
  <si>
    <t>89</t>
  </si>
  <si>
    <t>91</t>
  </si>
  <si>
    <t>95</t>
  </si>
  <si>
    <t>101</t>
  </si>
  <si>
    <t>102</t>
  </si>
  <si>
    <t>103</t>
  </si>
  <si>
    <t>107</t>
  </si>
  <si>
    <t>110</t>
  </si>
  <si>
    <t>111</t>
  </si>
  <si>
    <t>113</t>
  </si>
  <si>
    <t>114</t>
  </si>
  <si>
    <t>121</t>
  </si>
  <si>
    <t>124</t>
  </si>
  <si>
    <t>134</t>
  </si>
  <si>
    <t>135</t>
  </si>
  <si>
    <t>138</t>
  </si>
  <si>
    <t>139</t>
  </si>
  <si>
    <t>165</t>
  </si>
  <si>
    <t>175</t>
  </si>
  <si>
    <t>179</t>
  </si>
  <si>
    <t>180</t>
  </si>
  <si>
    <t>184</t>
  </si>
  <si>
    <t>192</t>
  </si>
  <si>
    <t>193</t>
  </si>
  <si>
    <t>194</t>
  </si>
  <si>
    <t>203</t>
  </si>
  <si>
    <t>204</t>
  </si>
  <si>
    <t>212</t>
  </si>
  <si>
    <t>214</t>
  </si>
  <si>
    <t>219</t>
  </si>
  <si>
    <t>220</t>
  </si>
  <si>
    <t>223</t>
  </si>
  <si>
    <t>224</t>
  </si>
  <si>
    <t>229</t>
  </si>
  <si>
    <t>234</t>
  </si>
  <si>
    <t>239</t>
  </si>
  <si>
    <t>240</t>
  </si>
  <si>
    <t>241</t>
  </si>
  <si>
    <t>242</t>
  </si>
  <si>
    <t>243</t>
  </si>
  <si>
    <t>244</t>
  </si>
  <si>
    <t>Ofertas</t>
  </si>
  <si>
    <t>PLAZO:</t>
  </si>
  <si>
    <t>CÓDIGO AGENTE:</t>
  </si>
  <si>
    <t>TOTAL:</t>
  </si>
  <si>
    <t>OBSERVACIONES</t>
  </si>
  <si>
    <t>Minimo</t>
  </si>
  <si>
    <t>NOMBRE:</t>
  </si>
  <si>
    <t>CUIT Comitente</t>
  </si>
  <si>
    <t>Integrar S.A.</t>
  </si>
  <si>
    <t>261</t>
  </si>
  <si>
    <t>www.fioritofactoring.com.ar</t>
  </si>
  <si>
    <t>bursatil@fioritofactoring.com.ar;info@fioritofactoring.com.ar</t>
  </si>
  <si>
    <t>(54 11) 4313-1235 / 4313-1267 Int. 223 ó 220</t>
  </si>
  <si>
    <t>(54 11) 4313-1235 / 4313-1267</t>
  </si>
  <si>
    <t>C1059ABP</t>
  </si>
  <si>
    <t>Av. Santa Fe 846 Piso 11º</t>
  </si>
  <si>
    <t>Fiorito Factoring S.A.</t>
  </si>
  <si>
    <t>www.estructurasymandatos.com</t>
  </si>
  <si>
    <t>eym@estructurasymandatos.com</t>
  </si>
  <si>
    <t>(54 11) 5199-3376</t>
  </si>
  <si>
    <t>(54 11) 5219-3600</t>
  </si>
  <si>
    <t>CP1002</t>
  </si>
  <si>
    <t>25 de Mayo 195 - Piso 8°</t>
  </si>
  <si>
    <t>574</t>
  </si>
  <si>
    <t>Estructuras y Mandatos</t>
  </si>
  <si>
    <t>221</t>
  </si>
  <si>
    <t>Banco Comafi S.A.</t>
  </si>
  <si>
    <t xml:space="preserve">Av. Roque Sáenz Peña 660 </t>
  </si>
  <si>
    <t>(54 11) 4347-0400</t>
  </si>
  <si>
    <t>(54 11) 4347-0404</t>
  </si>
  <si>
    <t>Nestor.castro@comafi.com.ar;Luis.fernandez@comafi.com.ar</t>
  </si>
  <si>
    <t>www.comafi.com.ar</t>
  </si>
  <si>
    <t xml:space="preserve"> Av. Corrientes 345 - Piso 11°</t>
  </si>
  <si>
    <t>tradicionvalores@tradicionvalores.com;info@tradicionvalores.com</t>
  </si>
  <si>
    <t>www.tradicionvalores.com</t>
  </si>
  <si>
    <t>Tradición Valores S.A.</t>
  </si>
  <si>
    <t>Tarallo S.A.</t>
  </si>
  <si>
    <t>Córdoba 1015 - Piso 2º - Oficina 4</t>
  </si>
  <si>
    <t xml:space="preserve">(54 341) 426-1265 / 530-2709 / 426-0971 / 425-6778 / 421-7164 </t>
  </si>
  <si>
    <t>finanzas@tarallo.com.ar;info@tarallo.com.ar</t>
  </si>
  <si>
    <t>www.tarallo.com.ar</t>
  </si>
  <si>
    <t>TOTAL AGENTES</t>
  </si>
  <si>
    <t>TOTAL AGENTES SIN ACVN</t>
  </si>
  <si>
    <t>Grupo Carey S.A.</t>
  </si>
  <si>
    <t>Córdoba 1444</t>
  </si>
  <si>
    <t>(54 341) 425-2200</t>
  </si>
  <si>
    <t>scastellarin@grupocarey.com.ar;vhasenbalg@grupocarey.com.ar;info@grupocarey.com.ar</t>
  </si>
  <si>
    <t>www.grupocarey.com.ar</t>
  </si>
  <si>
    <t>PESOS</t>
  </si>
  <si>
    <t>Múltiplo</t>
  </si>
  <si>
    <t xml:space="preserve">     Licitación Letras del Tesoro Nacional (LETES) en Dólares</t>
  </si>
  <si>
    <t>DÓLARES</t>
  </si>
  <si>
    <t xml:space="preserve">MONEDA DE SUSCRIPCIÓN: </t>
  </si>
  <si>
    <t>Parámetros Licitación:</t>
  </si>
  <si>
    <t>Dinosaurio Bursátil S.A.</t>
  </si>
  <si>
    <t>Eco Valores S.A</t>
  </si>
  <si>
    <t>25 de mayo 195 - Piso 6°</t>
  </si>
  <si>
    <t>(54 11) 5199-0190/91/92/93</t>
  </si>
  <si>
    <t>info@ecobolsar.com;andrea.marcolin@ecobolsar.com</t>
  </si>
  <si>
    <t>www.ecobolsar.com</t>
  </si>
  <si>
    <t>Sailing S.A.</t>
  </si>
  <si>
    <t>Carlos Pellegrini 1163 - Piso 7° - Lado Frente</t>
  </si>
  <si>
    <t>(54 11) 4326-3469 / 4326-2483</t>
  </si>
  <si>
    <t>info@sailinginversiones.com</t>
  </si>
  <si>
    <t>www.sailinginversiones.com</t>
  </si>
  <si>
    <t xml:space="preserve">Mínimo VN 1.000 y múltiplo de 1 VN </t>
  </si>
  <si>
    <t>Descripcion</t>
  </si>
  <si>
    <t>P</t>
  </si>
  <si>
    <t>Pesos</t>
  </si>
  <si>
    <t>D</t>
  </si>
  <si>
    <t>Dólar</t>
  </si>
  <si>
    <t>Carácter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</si>
</sst>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\-00000000\-0"/>
    <numFmt numFmtId="165" formatCode="[$-409]d\-mmm\-yy;@"/>
  </numFmts>
  <fonts count="20" x14ac:knownFonts="1">
    <font>
      <sz val="10"/>
      <name val="Arial"/>
    </font>
    <font>
      <sz val="14"/>
      <name val="Arial"/>
      <family val="2"/>
    </font>
    <font>
      <sz val="10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3"/>
      <color rgb="FFFF0000"/>
      <name val="Arial"/>
      <family val="2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rgb="FFFF0000"/>
      <name val="Arial"/>
      <family val="2"/>
    </font>
    <font>
      <b/>
      <sz val="13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2" fillId="0" borderId="0" xfId="0" applyFont="1"/>
    <xf numFmtId="0" fontId="0" fillId="2" borderId="0" xfId="0" applyFill="1" applyProtection="1">
      <protection hidden="1"/>
    </xf>
    <xf numFmtId="0" fontId="11" fillId="2" borderId="0" xfId="0" applyFont="1" applyFill="1" applyAlignment="1" applyProtection="1">
      <alignment horizontal="center" vertical="justify"/>
      <protection hidden="1"/>
    </xf>
    <xf numFmtId="0" fontId="0" fillId="2" borderId="0" xfId="0" applyFill="1" applyAlignment="1" applyProtection="1">
      <alignment horizontal="right"/>
      <protection hidden="1"/>
    </xf>
    <xf numFmtId="14" fontId="0" fillId="2" borderId="0" xfId="0" applyNumberFormat="1" applyFill="1" applyProtection="1">
      <protection hidden="1"/>
    </xf>
    <xf numFmtId="0" fontId="1" fillId="2" borderId="1" xfId="0" applyFont="1" applyFill="1" applyBorder="1" applyAlignment="1" applyProtection="1">
      <alignment horizontal="right"/>
      <protection hidden="1"/>
    </xf>
    <xf numFmtId="165" fontId="1" fillId="2" borderId="2" xfId="0" applyNumberFormat="1" applyFont="1" applyFill="1" applyBorder="1" applyAlignment="1" applyProtection="1">
      <alignment horizontal="center"/>
      <protection hidden="1"/>
    </xf>
    <xf numFmtId="0" fontId="11" fillId="2" borderId="0" xfId="0" applyFont="1" applyFill="1" applyAlignment="1" applyProtection="1">
      <alignment horizontal="left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Protection="1"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0" fontId="6" fillId="2" borderId="3" xfId="0" applyFont="1" applyFill="1" applyBorder="1" applyAlignment="1" applyProtection="1">
      <alignment horizontal="center" wrapText="1"/>
      <protection hidden="1"/>
    </xf>
    <xf numFmtId="3" fontId="1" fillId="2" borderId="4" xfId="0" applyNumberFormat="1" applyFont="1" applyFill="1" applyBorder="1" applyAlignment="1" applyProtection="1">
      <alignment horizontal="center"/>
      <protection hidden="1"/>
    </xf>
    <xf numFmtId="3" fontId="1" fillId="2" borderId="5" xfId="0" applyNumberFormat="1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3" fontId="8" fillId="2" borderId="6" xfId="0" applyNumberFormat="1" applyFont="1" applyFill="1" applyBorder="1" applyAlignment="1" applyProtection="1">
      <alignment horizontal="center"/>
      <protection hidden="1"/>
    </xf>
    <xf numFmtId="0" fontId="12" fillId="2" borderId="0" xfId="0" applyFont="1" applyFill="1" applyProtection="1">
      <protection hidden="1"/>
    </xf>
    <xf numFmtId="3" fontId="13" fillId="2" borderId="4" xfId="0" applyNumberFormat="1" applyFont="1" applyFill="1" applyBorder="1" applyAlignment="1" applyProtection="1">
      <alignment horizontal="center"/>
      <protection hidden="1"/>
    </xf>
    <xf numFmtId="0" fontId="5" fillId="2" borderId="0" xfId="0" applyFont="1" applyFill="1" applyProtection="1">
      <protection hidden="1"/>
    </xf>
    <xf numFmtId="3" fontId="13" fillId="2" borderId="5" xfId="0" applyNumberFormat="1" applyFont="1" applyFill="1" applyBorder="1" applyAlignment="1" applyProtection="1">
      <alignment horizontal="center"/>
      <protection hidden="1"/>
    </xf>
    <xf numFmtId="49" fontId="14" fillId="3" borderId="6" xfId="0" applyNumberFormat="1" applyFont="1" applyFill="1" applyBorder="1" applyAlignment="1" applyProtection="1">
      <alignment horizontal="center"/>
      <protection locked="0"/>
    </xf>
    <xf numFmtId="1" fontId="14" fillId="3" borderId="6" xfId="0" applyNumberFormat="1" applyFont="1" applyFill="1" applyBorder="1" applyAlignment="1" applyProtection="1">
      <alignment horizontal="center"/>
      <protection locked="0"/>
    </xf>
    <xf numFmtId="3" fontId="1" fillId="3" borderId="4" xfId="0" applyNumberFormat="1" applyFont="1" applyFill="1" applyBorder="1" applyAlignment="1" applyProtection="1">
      <alignment horizontal="right" indent="2"/>
      <protection locked="0"/>
    </xf>
    <xf numFmtId="3" fontId="1" fillId="3" borderId="5" xfId="0" applyNumberFormat="1" applyFont="1" applyFill="1" applyBorder="1" applyAlignment="1" applyProtection="1">
      <alignment horizontal="right" indent="2"/>
      <protection locked="0"/>
    </xf>
    <xf numFmtId="0" fontId="12" fillId="0" borderId="0" xfId="0" applyFont="1" applyProtection="1">
      <protection hidden="1"/>
    </xf>
    <xf numFmtId="49" fontId="12" fillId="2" borderId="0" xfId="0" applyNumberFormat="1" applyFont="1" applyFill="1" applyProtection="1">
      <protection hidden="1"/>
    </xf>
    <xf numFmtId="1" fontId="12" fillId="2" borderId="0" xfId="0" applyNumberFormat="1" applyFont="1" applyFill="1" applyAlignment="1" applyProtection="1">
      <alignment horizontal="center"/>
      <protection hidden="1"/>
    </xf>
    <xf numFmtId="3" fontId="12" fillId="2" borderId="0" xfId="0" applyNumberFormat="1" applyFont="1" applyFill="1" applyProtection="1">
      <protection hidden="1"/>
    </xf>
    <xf numFmtId="0" fontId="2" fillId="0" borderId="0" xfId="1" applyFont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10" fillId="0" borderId="0" xfId="0" applyFont="1"/>
    <xf numFmtId="0" fontId="9" fillId="2" borderId="0" xfId="0" applyFont="1" applyFill="1" applyAlignment="1" applyProtection="1">
      <alignment horizontal="left"/>
      <protection hidden="1"/>
    </xf>
    <xf numFmtId="0" fontId="11" fillId="2" borderId="0" xfId="0" applyFont="1" applyFill="1" applyAlignment="1" applyProtection="1">
      <alignment horizontal="center"/>
      <protection hidden="1"/>
    </xf>
    <xf numFmtId="0" fontId="15" fillId="2" borderId="0" xfId="0" applyFont="1" applyFill="1" applyBorder="1" applyAlignment="1" applyProtection="1">
      <alignment horizontal="left"/>
      <protection hidden="1"/>
    </xf>
    <xf numFmtId="0" fontId="16" fillId="2" borderId="0" xfId="0" applyFont="1" applyFill="1" applyProtection="1">
      <protection hidden="1"/>
    </xf>
    <xf numFmtId="0" fontId="16" fillId="0" borderId="0" xfId="0" applyFont="1" applyProtection="1">
      <protection hidden="1"/>
    </xf>
    <xf numFmtId="0" fontId="7" fillId="2" borderId="0" xfId="0" applyFont="1" applyFill="1" applyAlignment="1" applyProtection="1">
      <alignment horizontal="left" wrapText="1"/>
      <protection hidden="1"/>
    </xf>
    <xf numFmtId="0" fontId="9" fillId="2" borderId="0" xfId="0" applyFont="1" applyFill="1" applyProtection="1">
      <protection hidden="1"/>
    </xf>
    <xf numFmtId="0" fontId="6" fillId="2" borderId="0" xfId="0" applyFont="1" applyFill="1" applyBorder="1" applyAlignment="1" applyProtection="1">
      <alignment horizontal="center" wrapText="1"/>
      <protection hidden="1"/>
    </xf>
    <xf numFmtId="3" fontId="13" fillId="2" borderId="0" xfId="0" applyNumberFormat="1" applyFont="1" applyFill="1" applyBorder="1" applyAlignment="1" applyProtection="1">
      <alignment horizontal="center"/>
      <protection hidden="1"/>
    </xf>
    <xf numFmtId="0" fontId="17" fillId="2" borderId="7" xfId="0" applyFont="1" applyFill="1" applyBorder="1" applyAlignment="1" applyProtection="1">
      <protection hidden="1"/>
    </xf>
    <xf numFmtId="0" fontId="17" fillId="2" borderId="0" xfId="0" applyFont="1" applyFill="1" applyAlignment="1" applyProtection="1">
      <protection hidden="1"/>
    </xf>
    <xf numFmtId="0" fontId="9" fillId="2" borderId="0" xfId="0" applyFont="1" applyFill="1" applyAlignment="1" applyProtection="1">
      <alignment wrapText="1"/>
      <protection hidden="1"/>
    </xf>
    <xf numFmtId="0" fontId="18" fillId="2" borderId="0" xfId="0" applyFont="1" applyFill="1" applyBorder="1" applyAlignment="1" applyProtection="1">
      <protection hidden="1"/>
    </xf>
    <xf numFmtId="164" fontId="1" fillId="3" borderId="10" xfId="0" applyNumberFormat="1" applyFont="1" applyFill="1" applyBorder="1" applyAlignment="1" applyProtection="1">
      <alignment horizontal="center"/>
      <protection locked="0"/>
    </xf>
    <xf numFmtId="164" fontId="1" fillId="3" borderId="11" xfId="0" applyNumberFormat="1" applyFont="1" applyFill="1" applyBorder="1" applyAlignment="1" applyProtection="1">
      <alignment horizontal="center"/>
      <protection locked="0"/>
    </xf>
    <xf numFmtId="0" fontId="19" fillId="4" borderId="12" xfId="0" applyFont="1" applyFill="1" applyBorder="1" applyAlignment="1" applyProtection="1">
      <alignment horizontal="center" vertical="center"/>
      <protection hidden="1"/>
    </xf>
    <xf numFmtId="0" fontId="19" fillId="4" borderId="13" xfId="0" applyFont="1" applyFill="1" applyBorder="1" applyAlignment="1" applyProtection="1">
      <alignment horizontal="center" vertical="center"/>
      <protection hidden="1"/>
    </xf>
    <xf numFmtId="0" fontId="19" fillId="4" borderId="14" xfId="0" applyFont="1" applyFill="1" applyBorder="1" applyAlignment="1" applyProtection="1">
      <alignment horizontal="center" vertical="center"/>
      <protection hidden="1"/>
    </xf>
    <xf numFmtId="1" fontId="14" fillId="2" borderId="1" xfId="0" applyNumberFormat="1" applyFont="1" applyFill="1" applyBorder="1" applyAlignment="1" applyProtection="1">
      <alignment horizontal="center"/>
      <protection hidden="1"/>
    </xf>
    <xf numFmtId="1" fontId="14" fillId="2" borderId="2" xfId="0" applyNumberFormat="1" applyFont="1" applyFill="1" applyBorder="1" applyAlignment="1" applyProtection="1">
      <alignment horizontal="center"/>
      <protection hidden="1"/>
    </xf>
    <xf numFmtId="0" fontId="1" fillId="2" borderId="12" xfId="0" applyFont="1" applyFill="1" applyBorder="1" applyAlignment="1" applyProtection="1">
      <alignment horizontal="center"/>
      <protection hidden="1"/>
    </xf>
    <xf numFmtId="0" fontId="1" fillId="2" borderId="14" xfId="0" applyFont="1" applyFill="1" applyBorder="1" applyAlignment="1" applyProtection="1">
      <alignment horizontal="center"/>
      <protection hidden="1"/>
    </xf>
    <xf numFmtId="164" fontId="1" fillId="3" borderId="8" xfId="0" applyNumberFormat="1" applyFont="1" applyFill="1" applyBorder="1" applyAlignment="1" applyProtection="1">
      <alignment horizontal="center"/>
      <protection locked="0"/>
    </xf>
    <xf numFmtId="164" fontId="1" fillId="3" borderId="9" xfId="0" applyNumberFormat="1" applyFont="1" applyFill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/>
  </cellStyles>
  <dxfs count="18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baseColWidth="10" defaultRowHeight="12.75" x14ac:dyDescent="0.2"/>
  <sheetData>
    <row r="1" spans="1:2" x14ac:dyDescent="0.2">
      <c r="A1" s="32" t="s">
        <v>1718</v>
      </c>
      <c r="B1" s="32" t="s">
        <v>1713</v>
      </c>
    </row>
    <row r="2" spans="1:2" x14ac:dyDescent="0.2">
      <c r="A2" t="s">
        <v>1714</v>
      </c>
      <c r="B2" t="s">
        <v>1715</v>
      </c>
    </row>
    <row r="3" spans="1:2" x14ac:dyDescent="0.2">
      <c r="A3" t="s">
        <v>1716</v>
      </c>
      <c r="B3" t="s">
        <v>1717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AN589"/>
  <sheetViews>
    <sheetView showGridLines="0" zoomScaleNormal="100" workbookViewId="0">
      <selection activeCell="B6" sqref="B6"/>
    </sheetView>
  </sheetViews>
  <sheetFormatPr baseColWidth="10" defaultRowHeight="12.75" x14ac:dyDescent="0.2"/>
  <cols>
    <col min="1" max="1" width="30.42578125" style="2" customWidth="1"/>
    <col min="2" max="2" width="20.7109375" style="2" customWidth="1"/>
    <col min="3" max="3" width="16.5703125" style="2" customWidth="1"/>
    <col min="4" max="4" width="13.7109375" style="2" customWidth="1"/>
    <col min="5" max="5" width="33.28515625" style="2" customWidth="1"/>
    <col min="6" max="6" width="28.140625" style="2" customWidth="1"/>
    <col min="7" max="7" width="13.140625" style="17" hidden="1" customWidth="1"/>
    <col min="8" max="8" width="11.42578125" style="25" hidden="1" customWidth="1"/>
    <col min="9" max="9" width="12.85546875" style="25" hidden="1" customWidth="1"/>
    <col min="10" max="10" width="11.42578125" style="25" hidden="1" customWidth="1"/>
    <col min="11" max="12" width="11.42578125" style="17" hidden="1" customWidth="1"/>
    <col min="13" max="13" width="11.42578125" style="36" customWidth="1"/>
    <col min="14" max="23" width="11.42578125" style="37" customWidth="1"/>
    <col min="24" max="26" width="11.42578125" style="37" hidden="1" customWidth="1"/>
    <col min="27" max="31" width="11.42578125" style="37" customWidth="1"/>
    <col min="32" max="16384" width="11.42578125" style="37"/>
  </cols>
  <sheetData>
    <row r="1" spans="1:40" ht="5.25" customHeight="1" thickBot="1" x14ac:dyDescent="0.25"/>
    <row r="2" spans="1:40" ht="27" customHeight="1" thickBot="1" x14ac:dyDescent="0.25">
      <c r="A2" s="48" t="s">
        <v>1697</v>
      </c>
      <c r="B2" s="49"/>
      <c r="C2" s="49"/>
      <c r="D2" s="49"/>
      <c r="E2" s="50"/>
      <c r="H2" s="17"/>
      <c r="I2" s="17"/>
      <c r="J2" s="17"/>
      <c r="K2" s="17" t="s">
        <v>1574</v>
      </c>
      <c r="L2" s="17" t="s">
        <v>1575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>
        <v>1</v>
      </c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ht="15" customHeight="1" x14ac:dyDescent="0.2">
      <c r="A3" s="3"/>
      <c r="B3" s="3"/>
      <c r="C3" s="3"/>
      <c r="D3" s="3"/>
      <c r="E3" s="4"/>
      <c r="F3" s="5"/>
      <c r="H3" s="17" t="s">
        <v>1695</v>
      </c>
      <c r="I3" s="17"/>
      <c r="J3" s="17"/>
      <c r="K3" s="26" t="s">
        <v>1573</v>
      </c>
      <c r="L3" s="27">
        <v>1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>
        <v>2</v>
      </c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ht="18.75" customHeight="1" x14ac:dyDescent="0.25">
      <c r="A4" s="3"/>
      <c r="B4" s="3"/>
      <c r="C4" s="3"/>
      <c r="D4" s="6" t="s">
        <v>1</v>
      </c>
      <c r="E4" s="7"/>
      <c r="H4" s="17" t="s">
        <v>1698</v>
      </c>
      <c r="I4" s="17"/>
      <c r="J4" s="17"/>
      <c r="K4" s="26" t="s">
        <v>832</v>
      </c>
      <c r="L4" s="27">
        <v>2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>
        <v>3</v>
      </c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 ht="12.75" customHeight="1" x14ac:dyDescent="0.2">
      <c r="H5" s="17">
        <f>IFERROR(VLOOKUP(B6,K3:L214,2,FALSE),"")</f>
        <v>6</v>
      </c>
      <c r="I5" s="17"/>
      <c r="J5" s="17"/>
      <c r="K5" s="26" t="s">
        <v>1576</v>
      </c>
      <c r="L5" s="27">
        <v>4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>
        <v>4</v>
      </c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 ht="24" customHeight="1" x14ac:dyDescent="0.3">
      <c r="A6" s="35" t="s">
        <v>1649</v>
      </c>
      <c r="B6" s="21" t="s">
        <v>1570</v>
      </c>
      <c r="C6" s="34" t="s">
        <v>1653</v>
      </c>
      <c r="D6" s="51" t="str">
        <f>IFERROR(VLOOKUP(VLOOKUP($B$6,$K$2:$L$251,2,FALSE),'Listado Agentes'!$A$1:$S$251,2,FALSE),"")</f>
        <v>Allaria Ledesma &amp; Cía. S.A.</v>
      </c>
      <c r="E6" s="52"/>
      <c r="F6" s="9"/>
      <c r="H6" s="26"/>
      <c r="I6" s="17"/>
      <c r="J6" s="17"/>
      <c r="K6" s="26" t="s">
        <v>1577</v>
      </c>
      <c r="L6" s="27">
        <v>5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>
        <v>5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 ht="19.5" customHeight="1" x14ac:dyDescent="0.2">
      <c r="C7" s="36" t="e">
        <f>+IF(#REF!="Competitivo",1,0)</f>
        <v>#REF!</v>
      </c>
      <c r="H7" s="17"/>
      <c r="I7" s="17"/>
      <c r="J7" s="17"/>
      <c r="K7" s="26" t="s">
        <v>1570</v>
      </c>
      <c r="L7" s="27">
        <v>6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6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 ht="24" customHeight="1" x14ac:dyDescent="0.3">
      <c r="A8" s="45" t="s">
        <v>1699</v>
      </c>
      <c r="B8" s="21" t="s">
        <v>1695</v>
      </c>
      <c r="F8" s="17"/>
      <c r="H8" s="25">
        <v>91</v>
      </c>
      <c r="I8" s="17"/>
      <c r="K8" s="26" t="s">
        <v>1006</v>
      </c>
      <c r="L8" s="27">
        <v>7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>
        <v>7</v>
      </c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</row>
    <row r="9" spans="1:40" ht="9" customHeight="1" x14ac:dyDescent="0.3">
      <c r="A9" s="8"/>
      <c r="B9" s="9"/>
      <c r="D9" s="8"/>
      <c r="E9" s="9"/>
      <c r="F9" s="9"/>
      <c r="H9" s="17">
        <v>182</v>
      </c>
      <c r="I9" s="17"/>
      <c r="J9" s="17"/>
      <c r="K9" s="26" t="s">
        <v>1578</v>
      </c>
      <c r="L9" s="27">
        <v>8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v>8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 ht="9" customHeight="1" x14ac:dyDescent="0.2">
      <c r="H10" s="26"/>
      <c r="I10" s="17"/>
      <c r="J10" s="17"/>
      <c r="K10" s="26" t="s">
        <v>1579</v>
      </c>
      <c r="L10" s="27">
        <v>9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>
        <v>10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 ht="24" customHeight="1" x14ac:dyDescent="0.3">
      <c r="A11" s="8" t="s">
        <v>1648</v>
      </c>
      <c r="B11" s="22"/>
      <c r="C11" s="42" t="str">
        <f>IF(AND(B14&lt;&gt;"",E14="",B11=""),"RECUERDE INGRESAR PLAZO","")</f>
        <v/>
      </c>
      <c r="D11" s="43"/>
      <c r="E11" s="43"/>
      <c r="F11" s="43"/>
      <c r="H11" s="17"/>
      <c r="I11" s="17"/>
      <c r="J11" s="17"/>
      <c r="K11" s="26" t="s">
        <v>1580</v>
      </c>
      <c r="L11" s="27">
        <v>10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>
        <v>11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 ht="19.5" customHeight="1" thickBot="1" x14ac:dyDescent="0.25">
      <c r="C12" s="10"/>
      <c r="H12" s="17"/>
      <c r="I12" s="17"/>
      <c r="J12" s="17"/>
      <c r="K12" s="26" t="s">
        <v>1581</v>
      </c>
      <c r="L12" s="27">
        <v>12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>
        <v>12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 ht="26.25" customHeight="1" thickBot="1" x14ac:dyDescent="0.3">
      <c r="A13" s="11" t="s">
        <v>1647</v>
      </c>
      <c r="B13" s="11" t="s">
        <v>0</v>
      </c>
      <c r="C13" s="53" t="s">
        <v>1654</v>
      </c>
      <c r="D13" s="54"/>
      <c r="E13" s="12" t="s">
        <v>1651</v>
      </c>
      <c r="F13" s="40"/>
      <c r="G13" s="17" t="s">
        <v>1652</v>
      </c>
      <c r="H13" s="17" t="s">
        <v>1696</v>
      </c>
      <c r="I13" s="17"/>
      <c r="J13" s="17"/>
      <c r="K13" s="26" t="s">
        <v>1582</v>
      </c>
      <c r="L13" s="27">
        <v>13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>
        <v>13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 ht="20.100000000000001" customHeight="1" x14ac:dyDescent="0.25">
      <c r="A14" s="13">
        <v>1</v>
      </c>
      <c r="B14" s="23"/>
      <c r="C14" s="55"/>
      <c r="D14" s="56"/>
      <c r="E14" s="18" t="str">
        <f>IF(B14="","", IF($B$8="","COMPLETE MONEDA",""))</f>
        <v/>
      </c>
      <c r="F14" s="41"/>
      <c r="G14" s="28">
        <v>1000</v>
      </c>
      <c r="H14" s="28">
        <v>1</v>
      </c>
      <c r="I14" s="17"/>
      <c r="J14" s="17"/>
      <c r="K14" s="26" t="s">
        <v>1585</v>
      </c>
      <c r="L14" s="27">
        <v>15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>
        <v>14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 ht="20.100000000000001" customHeight="1" x14ac:dyDescent="0.25">
      <c r="A15" s="14">
        <v>2</v>
      </c>
      <c r="B15" s="24"/>
      <c r="C15" s="46"/>
      <c r="D15" s="47"/>
      <c r="E15" s="20" t="str">
        <f t="shared" ref="E15:E22" si="0">IF(B15="","", IF($B$8="","COMPLETE MONEDA",""))</f>
        <v/>
      </c>
      <c r="F15" s="41"/>
      <c r="G15" s="28">
        <v>1000</v>
      </c>
      <c r="H15" s="28">
        <v>1</v>
      </c>
      <c r="I15" s="17"/>
      <c r="J15" s="17"/>
      <c r="K15" s="26" t="s">
        <v>1583</v>
      </c>
      <c r="L15" s="27">
        <v>16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>
        <v>15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 ht="20.100000000000001" customHeight="1" x14ac:dyDescent="0.25">
      <c r="A16" s="14">
        <v>3</v>
      </c>
      <c r="B16" s="24"/>
      <c r="C16" s="46"/>
      <c r="D16" s="47"/>
      <c r="E16" s="20" t="str">
        <f t="shared" si="0"/>
        <v/>
      </c>
      <c r="F16" s="41"/>
      <c r="G16" s="28">
        <v>1000</v>
      </c>
      <c r="H16" s="28">
        <v>1</v>
      </c>
      <c r="I16" s="17"/>
      <c r="J16" s="17"/>
      <c r="K16" s="26" t="s">
        <v>1584</v>
      </c>
      <c r="L16" s="27">
        <v>17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>
        <v>16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 ht="20.100000000000001" customHeight="1" x14ac:dyDescent="0.25">
      <c r="A17" s="14">
        <v>4</v>
      </c>
      <c r="B17" s="24"/>
      <c r="C17" s="46"/>
      <c r="D17" s="47"/>
      <c r="E17" s="20" t="str">
        <f t="shared" si="0"/>
        <v/>
      </c>
      <c r="F17" s="41"/>
      <c r="G17" s="28">
        <v>1000</v>
      </c>
      <c r="H17" s="28">
        <v>1</v>
      </c>
      <c r="I17" s="17"/>
      <c r="J17" s="17"/>
      <c r="K17" s="26" t="s">
        <v>1586</v>
      </c>
      <c r="L17" s="27">
        <v>18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>
        <v>17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 ht="20.100000000000001" customHeight="1" x14ac:dyDescent="0.25">
      <c r="A18" s="14">
        <v>5</v>
      </c>
      <c r="B18" s="24"/>
      <c r="C18" s="46"/>
      <c r="D18" s="47"/>
      <c r="E18" s="20" t="str">
        <f t="shared" si="0"/>
        <v/>
      </c>
      <c r="F18" s="41"/>
      <c r="G18" s="28">
        <v>1000</v>
      </c>
      <c r="H18" s="28">
        <v>1</v>
      </c>
      <c r="I18" s="17"/>
      <c r="J18" s="17"/>
      <c r="K18" s="26" t="s">
        <v>1587</v>
      </c>
      <c r="L18" s="27">
        <v>19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>
        <v>18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 ht="20.100000000000001" customHeight="1" x14ac:dyDescent="0.25">
      <c r="A19" s="14">
        <v>6</v>
      </c>
      <c r="B19" s="24"/>
      <c r="C19" s="46"/>
      <c r="D19" s="47"/>
      <c r="E19" s="20" t="str">
        <f t="shared" si="0"/>
        <v/>
      </c>
      <c r="F19" s="41"/>
      <c r="G19" s="28">
        <v>1000</v>
      </c>
      <c r="H19" s="28">
        <v>1</v>
      </c>
      <c r="I19" s="28"/>
      <c r="J19" s="17"/>
      <c r="K19" s="26" t="s">
        <v>1588</v>
      </c>
      <c r="L19" s="27">
        <v>20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>
        <v>19</v>
      </c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 ht="20.100000000000001" customHeight="1" x14ac:dyDescent="0.25">
      <c r="A20" s="14">
        <v>7</v>
      </c>
      <c r="B20" s="24"/>
      <c r="C20" s="46"/>
      <c r="D20" s="47"/>
      <c r="E20" s="20" t="str">
        <f t="shared" si="0"/>
        <v/>
      </c>
      <c r="F20" s="41"/>
      <c r="G20" s="28">
        <v>1000</v>
      </c>
      <c r="H20" s="28">
        <v>1</v>
      </c>
      <c r="I20" s="28"/>
      <c r="J20" s="17"/>
      <c r="K20" s="26" t="s">
        <v>327</v>
      </c>
      <c r="L20" s="27">
        <v>21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>
        <v>20</v>
      </c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 ht="20.100000000000001" customHeight="1" x14ac:dyDescent="0.25">
      <c r="A21" s="14">
        <v>8</v>
      </c>
      <c r="B21" s="24"/>
      <c r="C21" s="46"/>
      <c r="D21" s="47"/>
      <c r="E21" s="20" t="str">
        <f t="shared" si="0"/>
        <v/>
      </c>
      <c r="F21" s="41"/>
      <c r="G21" s="28">
        <v>1000</v>
      </c>
      <c r="H21" s="28">
        <v>1</v>
      </c>
      <c r="I21" s="17"/>
      <c r="J21" s="17"/>
      <c r="K21" s="26" t="s">
        <v>1589</v>
      </c>
      <c r="L21" s="27">
        <v>23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>
        <v>21</v>
      </c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 ht="20.100000000000001" customHeight="1" x14ac:dyDescent="0.25">
      <c r="A22" s="14">
        <v>9</v>
      </c>
      <c r="B22" s="24"/>
      <c r="C22" s="46"/>
      <c r="D22" s="47"/>
      <c r="E22" s="20" t="str">
        <f t="shared" si="0"/>
        <v/>
      </c>
      <c r="F22" s="41"/>
      <c r="G22" s="28">
        <v>1000</v>
      </c>
      <c r="H22" s="28">
        <v>1</v>
      </c>
      <c r="I22" s="17"/>
      <c r="J22" s="17"/>
      <c r="K22" s="26" t="s">
        <v>59</v>
      </c>
      <c r="L22" s="27">
        <v>24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>
        <v>22</v>
      </c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 ht="20.100000000000001" customHeight="1" x14ac:dyDescent="0.25">
      <c r="A23" s="14">
        <v>10</v>
      </c>
      <c r="B23" s="24"/>
      <c r="C23" s="46"/>
      <c r="D23" s="47"/>
      <c r="E23" s="20" t="str">
        <f>IF(B23="","", IF($B$8="","COMPLETE MONEDA",""))</f>
        <v/>
      </c>
      <c r="F23" s="41"/>
      <c r="G23" s="28">
        <v>1000</v>
      </c>
      <c r="H23" s="28">
        <v>1</v>
      </c>
      <c r="I23" s="17"/>
      <c r="J23" s="17"/>
      <c r="K23" s="26" t="s">
        <v>1165</v>
      </c>
      <c r="L23" s="27">
        <v>25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>
        <v>23</v>
      </c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 ht="20.100000000000001" customHeight="1" x14ac:dyDescent="0.25">
      <c r="A24" s="15" t="s">
        <v>1650</v>
      </c>
      <c r="B24" s="16">
        <f>+SUM(B14:B23)</f>
        <v>0</v>
      </c>
      <c r="H24" s="17"/>
      <c r="I24" s="17"/>
      <c r="J24" s="17"/>
      <c r="K24" s="26" t="s">
        <v>68</v>
      </c>
      <c r="L24" s="27">
        <v>26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>
        <v>24</v>
      </c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 x14ac:dyDescent="0.2">
      <c r="H25" s="17"/>
      <c r="I25" s="17"/>
      <c r="J25" s="17"/>
      <c r="K25" s="26" t="s">
        <v>1250</v>
      </c>
      <c r="L25" s="27">
        <v>27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>
        <v>25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 ht="18" x14ac:dyDescent="0.25">
      <c r="D26" s="57" t="s">
        <v>2</v>
      </c>
      <c r="E26" s="57"/>
      <c r="H26" s="17"/>
      <c r="I26" s="17"/>
      <c r="J26" s="17"/>
      <c r="K26" s="26" t="s">
        <v>290</v>
      </c>
      <c r="L26" s="27">
        <v>28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>
        <v>26</v>
      </c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 ht="2.25" customHeight="1" x14ac:dyDescent="0.2">
      <c r="H27" s="17"/>
      <c r="I27" s="17"/>
      <c r="J27" s="17"/>
      <c r="K27" s="26" t="s">
        <v>1417</v>
      </c>
      <c r="L27" s="27">
        <v>29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 ht="15.75" x14ac:dyDescent="0.25">
      <c r="A28" s="19" t="s">
        <v>1700</v>
      </c>
      <c r="H28" s="17"/>
      <c r="I28" s="17"/>
      <c r="J28" s="17"/>
      <c r="K28" s="26" t="s">
        <v>1054</v>
      </c>
      <c r="L28" s="27">
        <v>30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>
        <v>27</v>
      </c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 ht="14.25" x14ac:dyDescent="0.2">
      <c r="A29" s="33" t="s">
        <v>1712</v>
      </c>
      <c r="B29" s="33"/>
      <c r="C29" s="33"/>
      <c r="D29" s="33"/>
      <c r="E29" s="33"/>
      <c r="F29" s="33"/>
      <c r="H29" s="17"/>
      <c r="I29" s="17"/>
      <c r="J29" s="17"/>
      <c r="K29" s="26" t="s">
        <v>260</v>
      </c>
      <c r="L29" s="27">
        <v>31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>
        <v>28</v>
      </c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ht="14.25" customHeight="1" x14ac:dyDescent="0.2">
      <c r="A30" s="44"/>
      <c r="B30" s="44"/>
      <c r="C30" s="44"/>
      <c r="D30" s="44"/>
      <c r="E30" s="44"/>
      <c r="F30" s="44"/>
      <c r="H30" s="17"/>
      <c r="I30" s="17"/>
      <c r="J30" s="17"/>
      <c r="K30" s="26" t="s">
        <v>1396</v>
      </c>
      <c r="L30" s="27">
        <v>32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>
        <v>29</v>
      </c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 ht="14.25" x14ac:dyDescent="0.2">
      <c r="A31" s="39"/>
      <c r="B31" s="38"/>
      <c r="C31" s="38"/>
      <c r="D31" s="38"/>
      <c r="E31" s="38"/>
      <c r="F31" s="38"/>
      <c r="H31" s="17"/>
      <c r="I31" s="17"/>
      <c r="J31" s="17"/>
      <c r="K31" s="26" t="s">
        <v>1228</v>
      </c>
      <c r="L31" s="27">
        <v>33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>
        <v>30</v>
      </c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 x14ac:dyDescent="0.2">
      <c r="A32" s="10"/>
      <c r="B32" s="10"/>
      <c r="C32" s="10"/>
      <c r="D32" s="10"/>
      <c r="E32" s="10"/>
      <c r="F32" s="10"/>
      <c r="H32" s="17"/>
      <c r="I32" s="17"/>
      <c r="J32" s="17"/>
      <c r="K32" s="26" t="s">
        <v>174</v>
      </c>
      <c r="L32" s="27">
        <v>35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>
        <v>31</v>
      </c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2:40" ht="14.25" customHeight="1" x14ac:dyDescent="0.2">
      <c r="B33" s="10"/>
      <c r="C33" s="10"/>
      <c r="D33" s="10"/>
      <c r="E33" s="10"/>
      <c r="F33" s="10"/>
      <c r="H33" s="17"/>
      <c r="I33" s="17"/>
      <c r="J33" s="17"/>
      <c r="K33" s="26" t="s">
        <v>749</v>
      </c>
      <c r="L33" s="27">
        <v>36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>
        <v>32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2:40" x14ac:dyDescent="0.2">
      <c r="H34" s="17"/>
      <c r="I34" s="17"/>
      <c r="J34" s="17"/>
      <c r="K34" s="26" t="s">
        <v>400</v>
      </c>
      <c r="L34" s="27">
        <v>37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>
        <v>33</v>
      </c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2:40" x14ac:dyDescent="0.2">
      <c r="H35" s="17"/>
      <c r="I35" s="17"/>
      <c r="J35" s="17"/>
      <c r="K35" s="26" t="s">
        <v>1590</v>
      </c>
      <c r="L35" s="27">
        <v>38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>
        <v>34</v>
      </c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2:40" x14ac:dyDescent="0.2">
      <c r="H36" s="17"/>
      <c r="I36" s="17"/>
      <c r="J36" s="17"/>
      <c r="K36" s="26" t="s">
        <v>925</v>
      </c>
      <c r="L36" s="27">
        <v>40</v>
      </c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>
        <v>35</v>
      </c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2:40" x14ac:dyDescent="0.2">
      <c r="H37" s="17"/>
      <c r="I37" s="17"/>
      <c r="J37" s="17"/>
      <c r="K37" s="26" t="s">
        <v>314</v>
      </c>
      <c r="L37" s="27">
        <v>42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>
        <v>36</v>
      </c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2:40" x14ac:dyDescent="0.2">
      <c r="H38" s="17"/>
      <c r="I38" s="17"/>
      <c r="J38" s="17"/>
      <c r="K38" s="26" t="s">
        <v>383</v>
      </c>
      <c r="L38" s="27">
        <v>43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>
        <v>37</v>
      </c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2:40" x14ac:dyDescent="0.2">
      <c r="H39" s="17"/>
      <c r="I39" s="17"/>
      <c r="J39" s="17"/>
      <c r="K39" s="26" t="s">
        <v>546</v>
      </c>
      <c r="L39" s="27">
        <v>44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>
        <v>38</v>
      </c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spans="2:40" x14ac:dyDescent="0.2">
      <c r="H40" s="17"/>
      <c r="I40" s="17"/>
      <c r="J40" s="17"/>
      <c r="K40" s="26" t="s">
        <v>1591</v>
      </c>
      <c r="L40" s="27">
        <v>45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>
        <v>39</v>
      </c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spans="2:40" x14ac:dyDescent="0.2">
      <c r="H41" s="17"/>
      <c r="I41" s="17"/>
      <c r="J41" s="17"/>
      <c r="K41" s="26" t="s">
        <v>1592</v>
      </c>
      <c r="L41" s="27">
        <v>46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>
        <v>40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spans="2:40" x14ac:dyDescent="0.2">
      <c r="H42" s="17"/>
      <c r="I42" s="17"/>
      <c r="J42" s="17"/>
      <c r="K42" s="26" t="s">
        <v>1464</v>
      </c>
      <c r="L42" s="27">
        <v>47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>
        <v>41</v>
      </c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spans="2:40" x14ac:dyDescent="0.2">
      <c r="H43" s="17"/>
      <c r="I43" s="17"/>
      <c r="J43" s="17"/>
      <c r="K43" s="26" t="s">
        <v>1593</v>
      </c>
      <c r="L43" s="27">
        <v>48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>
        <v>42</v>
      </c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spans="2:40" x14ac:dyDescent="0.2">
      <c r="H44" s="17"/>
      <c r="I44" s="17"/>
      <c r="J44" s="17"/>
      <c r="K44" s="26" t="s">
        <v>134</v>
      </c>
      <c r="L44" s="27">
        <v>49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>
        <v>43</v>
      </c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spans="2:40" x14ac:dyDescent="0.2">
      <c r="H45" s="17"/>
      <c r="I45" s="17"/>
      <c r="J45" s="17"/>
      <c r="K45" s="26" t="s">
        <v>345</v>
      </c>
      <c r="L45" s="27">
        <v>50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>
        <v>44</v>
      </c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spans="2:40" x14ac:dyDescent="0.2">
      <c r="H46" s="17"/>
      <c r="I46" s="17"/>
      <c r="J46" s="17"/>
      <c r="K46" s="26" t="s">
        <v>1572</v>
      </c>
      <c r="L46" s="27">
        <v>51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>
        <v>45</v>
      </c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spans="2:40" x14ac:dyDescent="0.2">
      <c r="H47" s="17"/>
      <c r="I47" s="17"/>
      <c r="J47" s="17"/>
      <c r="K47" s="26" t="s">
        <v>881</v>
      </c>
      <c r="L47" s="27">
        <v>52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>
        <v>46</v>
      </c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spans="2:40" x14ac:dyDescent="0.2">
      <c r="H48" s="17"/>
      <c r="I48" s="17"/>
      <c r="J48" s="17"/>
      <c r="K48" s="26" t="s">
        <v>34</v>
      </c>
      <c r="L48" s="27">
        <v>53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>
        <v>47</v>
      </c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spans="8:40" x14ac:dyDescent="0.2">
      <c r="H49" s="17"/>
      <c r="I49" s="17"/>
      <c r="J49" s="17"/>
      <c r="K49" s="26" t="s">
        <v>535</v>
      </c>
      <c r="L49" s="27">
        <v>55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spans="8:40" x14ac:dyDescent="0.2">
      <c r="H50" s="17"/>
      <c r="I50" s="17"/>
      <c r="J50" s="17"/>
      <c r="K50" s="26" t="s">
        <v>519</v>
      </c>
      <c r="L50" s="27">
        <v>56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>
        <v>48</v>
      </c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spans="8:40" x14ac:dyDescent="0.2">
      <c r="H51" s="17"/>
      <c r="I51" s="17"/>
      <c r="J51" s="17"/>
      <c r="K51" s="26" t="s">
        <v>307</v>
      </c>
      <c r="L51" s="27">
        <v>57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>
        <v>49</v>
      </c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spans="8:40" x14ac:dyDescent="0.2">
      <c r="H52" s="17"/>
      <c r="I52" s="17"/>
      <c r="J52" s="17"/>
      <c r="K52" s="26" t="s">
        <v>251</v>
      </c>
      <c r="L52" s="27">
        <v>59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>
        <v>50</v>
      </c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spans="8:40" x14ac:dyDescent="0.2">
      <c r="H53" s="17"/>
      <c r="I53" s="17"/>
      <c r="J53" s="17"/>
      <c r="K53" s="26" t="s">
        <v>470</v>
      </c>
      <c r="L53" s="27">
        <v>60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>
        <v>51</v>
      </c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spans="8:40" x14ac:dyDescent="0.2">
      <c r="H54" s="17"/>
      <c r="I54" s="17"/>
      <c r="J54" s="17"/>
      <c r="K54" s="26" t="s">
        <v>1496</v>
      </c>
      <c r="L54" s="27">
        <v>61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>
        <v>52</v>
      </c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8:40" x14ac:dyDescent="0.2">
      <c r="H55" s="17"/>
      <c r="I55" s="17"/>
      <c r="J55" s="17"/>
      <c r="K55" s="26" t="s">
        <v>1594</v>
      </c>
      <c r="L55" s="27">
        <v>63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>
        <v>53</v>
      </c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8:40" x14ac:dyDescent="0.2">
      <c r="H56" s="17"/>
      <c r="I56" s="17"/>
      <c r="J56" s="17"/>
      <c r="K56" s="26" t="s">
        <v>1595</v>
      </c>
      <c r="L56" s="27">
        <v>64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>
        <v>54</v>
      </c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8:40" x14ac:dyDescent="0.2">
      <c r="H57" s="17"/>
      <c r="I57" s="17"/>
      <c r="J57" s="17"/>
      <c r="K57" s="26" t="s">
        <v>717</v>
      </c>
      <c r="L57" s="27">
        <v>65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>
        <v>55</v>
      </c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8:40" x14ac:dyDescent="0.2">
      <c r="H58" s="17"/>
      <c r="I58" s="17"/>
      <c r="J58" s="17"/>
      <c r="K58" s="26" t="s">
        <v>1596</v>
      </c>
      <c r="L58" s="27">
        <v>67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>
        <v>56</v>
      </c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8:40" x14ac:dyDescent="0.2">
      <c r="H59" s="17"/>
      <c r="I59" s="17"/>
      <c r="J59" s="17"/>
      <c r="K59" s="26" t="s">
        <v>1513</v>
      </c>
      <c r="L59" s="27">
        <v>68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>
        <v>57</v>
      </c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8:40" x14ac:dyDescent="0.2">
      <c r="H60" s="17"/>
      <c r="I60" s="17"/>
      <c r="J60" s="17"/>
      <c r="K60" s="26" t="s">
        <v>192</v>
      </c>
      <c r="L60" s="27">
        <v>69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>
        <v>58</v>
      </c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8:40" x14ac:dyDescent="0.2">
      <c r="H61" s="17"/>
      <c r="I61" s="17"/>
      <c r="J61" s="17"/>
      <c r="K61" s="26" t="s">
        <v>1155</v>
      </c>
      <c r="L61" s="27">
        <v>70</v>
      </c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>
        <v>59</v>
      </c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8:40" x14ac:dyDescent="0.2">
      <c r="H62" s="17"/>
      <c r="I62" s="17"/>
      <c r="J62" s="17"/>
      <c r="K62" s="26" t="s">
        <v>336</v>
      </c>
      <c r="L62" s="27">
        <v>71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>
        <v>60</v>
      </c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8:40" x14ac:dyDescent="0.2">
      <c r="H63" s="17"/>
      <c r="I63" s="17"/>
      <c r="J63" s="17"/>
      <c r="K63" s="26" t="s">
        <v>862</v>
      </c>
      <c r="L63" s="27">
        <v>72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>
        <v>61</v>
      </c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8:40" x14ac:dyDescent="0.2">
      <c r="H64" s="17"/>
      <c r="I64" s="17"/>
      <c r="J64" s="17"/>
      <c r="K64" s="26" t="s">
        <v>222</v>
      </c>
      <c r="L64" s="27">
        <v>73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>
        <v>62</v>
      </c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8:40" x14ac:dyDescent="0.2">
      <c r="H65" s="17"/>
      <c r="I65" s="17"/>
      <c r="J65" s="17"/>
      <c r="K65" s="26" t="s">
        <v>875</v>
      </c>
      <c r="L65" s="27">
        <v>75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>
        <v>63</v>
      </c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8:40" x14ac:dyDescent="0.2">
      <c r="H66" s="17"/>
      <c r="I66" s="17"/>
      <c r="J66" s="17"/>
      <c r="K66" s="26" t="s">
        <v>1597</v>
      </c>
      <c r="L66" s="27">
        <v>76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>
        <v>64</v>
      </c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8:40" x14ac:dyDescent="0.2">
      <c r="H67" s="17"/>
      <c r="I67" s="17"/>
      <c r="J67" s="17"/>
      <c r="K67" s="26" t="s">
        <v>1598</v>
      </c>
      <c r="L67" s="27">
        <v>77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>
        <v>65</v>
      </c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8:40" x14ac:dyDescent="0.2">
      <c r="H68" s="17"/>
      <c r="I68" s="17"/>
      <c r="J68" s="17"/>
      <c r="K68" s="26" t="s">
        <v>1599</v>
      </c>
      <c r="L68" s="27">
        <v>79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>
        <v>66</v>
      </c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8:40" x14ac:dyDescent="0.2">
      <c r="H69" s="17"/>
      <c r="I69" s="17"/>
      <c r="J69" s="17"/>
      <c r="K69" s="26" t="s">
        <v>1600</v>
      </c>
      <c r="L69" s="27">
        <v>80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>
        <v>67</v>
      </c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8:40" x14ac:dyDescent="0.2">
      <c r="H70" s="17"/>
      <c r="I70" s="17"/>
      <c r="J70" s="17"/>
      <c r="K70" s="26" t="s">
        <v>1601</v>
      </c>
      <c r="L70" s="27">
        <v>81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>
        <v>68</v>
      </c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8:40" x14ac:dyDescent="0.2">
      <c r="H71" s="17"/>
      <c r="I71" s="17"/>
      <c r="J71" s="17"/>
      <c r="K71" s="26" t="s">
        <v>1602</v>
      </c>
      <c r="L71" s="27">
        <v>82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>
        <v>69</v>
      </c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8:40" x14ac:dyDescent="0.2">
      <c r="H72" s="17"/>
      <c r="I72" s="17"/>
      <c r="J72" s="17"/>
      <c r="K72" s="26" t="s">
        <v>1603</v>
      </c>
      <c r="L72" s="27">
        <v>83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>
        <v>70</v>
      </c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8:40" x14ac:dyDescent="0.2">
      <c r="H73" s="17"/>
      <c r="I73" s="17"/>
      <c r="J73" s="17"/>
      <c r="K73" s="26" t="s">
        <v>417</v>
      </c>
      <c r="L73" s="27">
        <v>84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>
        <v>71</v>
      </c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8:40" x14ac:dyDescent="0.2">
      <c r="H74" s="17"/>
      <c r="I74" s="17"/>
      <c r="J74" s="17"/>
      <c r="K74" s="26" t="s">
        <v>666</v>
      </c>
      <c r="L74" s="27">
        <v>85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>
        <v>72</v>
      </c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8:40" x14ac:dyDescent="0.2">
      <c r="H75" s="17"/>
      <c r="I75" s="17"/>
      <c r="J75" s="17"/>
      <c r="K75" s="26" t="s">
        <v>1604</v>
      </c>
      <c r="L75" s="27">
        <v>86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>
        <v>73</v>
      </c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8:40" x14ac:dyDescent="0.2">
      <c r="H76" s="17"/>
      <c r="I76" s="17"/>
      <c r="J76" s="17"/>
      <c r="K76" s="26" t="s">
        <v>1605</v>
      </c>
      <c r="L76" s="27">
        <v>87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>
        <v>74</v>
      </c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spans="8:40" x14ac:dyDescent="0.2">
      <c r="H77" s="17"/>
      <c r="I77" s="17"/>
      <c r="J77" s="17"/>
      <c r="K77" s="26" t="s">
        <v>1049</v>
      </c>
      <c r="L77" s="27">
        <v>88</v>
      </c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>
        <v>75</v>
      </c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8:40" x14ac:dyDescent="0.2">
      <c r="H78" s="17"/>
      <c r="I78" s="17"/>
      <c r="J78" s="17"/>
      <c r="K78" s="26" t="s">
        <v>1606</v>
      </c>
      <c r="L78" s="27">
        <v>89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>
        <v>76</v>
      </c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8:40" x14ac:dyDescent="0.2">
      <c r="H79" s="17"/>
      <c r="I79" s="17"/>
      <c r="J79" s="17"/>
      <c r="K79" s="26" t="s">
        <v>701</v>
      </c>
      <c r="L79" s="27">
        <v>90</v>
      </c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>
        <v>77</v>
      </c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8:40" x14ac:dyDescent="0.2">
      <c r="H80" s="17"/>
      <c r="I80" s="17"/>
      <c r="J80" s="17"/>
      <c r="K80" s="26" t="s">
        <v>1607</v>
      </c>
      <c r="L80" s="27">
        <v>91</v>
      </c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>
        <v>78</v>
      </c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8:40" x14ac:dyDescent="0.2">
      <c r="H81" s="17"/>
      <c r="I81" s="17"/>
      <c r="J81" s="17"/>
      <c r="K81" s="26" t="s">
        <v>1403</v>
      </c>
      <c r="L81" s="27">
        <v>92</v>
      </c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>
        <v>79</v>
      </c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8:40" x14ac:dyDescent="0.2">
      <c r="H82" s="17"/>
      <c r="I82" s="17"/>
      <c r="J82" s="17"/>
      <c r="K82" s="26" t="s">
        <v>650</v>
      </c>
      <c r="L82" s="27">
        <v>94</v>
      </c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>
        <v>80</v>
      </c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8:40" x14ac:dyDescent="0.2">
      <c r="H83" s="17"/>
      <c r="I83" s="17"/>
      <c r="J83" s="17"/>
      <c r="K83" s="26" t="s">
        <v>1608</v>
      </c>
      <c r="L83" s="27">
        <v>95</v>
      </c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>
        <v>81</v>
      </c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8:40" x14ac:dyDescent="0.2">
      <c r="H84" s="17"/>
      <c r="I84" s="17"/>
      <c r="J84" s="17"/>
      <c r="K84" s="26" t="s">
        <v>165</v>
      </c>
      <c r="L84" s="27">
        <v>96</v>
      </c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>
        <v>82</v>
      </c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8:40" x14ac:dyDescent="0.2">
      <c r="H85" s="17"/>
      <c r="I85" s="17"/>
      <c r="J85" s="17"/>
      <c r="K85" s="26" t="s">
        <v>1222</v>
      </c>
      <c r="L85" s="27">
        <v>97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>
        <v>83</v>
      </c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8:40" x14ac:dyDescent="0.2">
      <c r="H86" s="17"/>
      <c r="I86" s="17"/>
      <c r="J86" s="17"/>
      <c r="K86" s="26" t="s">
        <v>1571</v>
      </c>
      <c r="L86" s="27">
        <v>98</v>
      </c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>
        <v>84</v>
      </c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8:40" x14ac:dyDescent="0.2">
      <c r="H87" s="17"/>
      <c r="I87" s="17"/>
      <c r="J87" s="17"/>
      <c r="K87" s="26" t="s">
        <v>622</v>
      </c>
      <c r="L87" s="27">
        <v>100</v>
      </c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>
        <v>85</v>
      </c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8:40" x14ac:dyDescent="0.2">
      <c r="H88" s="17"/>
      <c r="I88" s="17"/>
      <c r="J88" s="17"/>
      <c r="K88" s="26" t="s">
        <v>1609</v>
      </c>
      <c r="L88" s="27">
        <v>101</v>
      </c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>
        <v>86</v>
      </c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8:40" x14ac:dyDescent="0.2">
      <c r="H89" s="17"/>
      <c r="I89" s="17"/>
      <c r="J89" s="17"/>
      <c r="K89" s="26" t="s">
        <v>1610</v>
      </c>
      <c r="L89" s="27">
        <v>102</v>
      </c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>
        <v>87</v>
      </c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8:40" x14ac:dyDescent="0.2">
      <c r="H90" s="17"/>
      <c r="I90" s="17"/>
      <c r="J90" s="17"/>
      <c r="K90" s="26" t="s">
        <v>1611</v>
      </c>
      <c r="L90" s="27">
        <v>103</v>
      </c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>
        <v>88</v>
      </c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8:40" x14ac:dyDescent="0.2">
      <c r="H91" s="17"/>
      <c r="I91" s="17"/>
      <c r="J91" s="17"/>
      <c r="K91" s="26" t="s">
        <v>1207</v>
      </c>
      <c r="L91" s="27">
        <v>104</v>
      </c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>
        <v>89</v>
      </c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8:40" x14ac:dyDescent="0.2">
      <c r="H92" s="17"/>
      <c r="I92" s="17"/>
      <c r="J92" s="17"/>
      <c r="K92" s="26" t="s">
        <v>694</v>
      </c>
      <c r="L92" s="27">
        <v>105</v>
      </c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>
        <v>90</v>
      </c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8:40" x14ac:dyDescent="0.2">
      <c r="H93" s="17"/>
      <c r="I93" s="17"/>
      <c r="J93" s="17"/>
      <c r="K93" s="26" t="s">
        <v>85</v>
      </c>
      <c r="L93" s="27">
        <v>106</v>
      </c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>
        <v>91</v>
      </c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8:40" x14ac:dyDescent="0.2">
      <c r="H94" s="17"/>
      <c r="I94" s="17"/>
      <c r="J94" s="17"/>
      <c r="K94" s="26" t="s">
        <v>1612</v>
      </c>
      <c r="L94" s="27">
        <v>107</v>
      </c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>
        <v>92</v>
      </c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8:40" x14ac:dyDescent="0.2">
      <c r="H95" s="17"/>
      <c r="I95" s="17"/>
      <c r="J95" s="17"/>
      <c r="K95" s="26" t="s">
        <v>1410</v>
      </c>
      <c r="L95" s="27">
        <v>108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>
        <v>93</v>
      </c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8:40" x14ac:dyDescent="0.2">
      <c r="H96" s="17"/>
      <c r="I96" s="17"/>
      <c r="J96" s="17"/>
      <c r="K96" s="26" t="s">
        <v>1102</v>
      </c>
      <c r="L96" s="27">
        <v>109</v>
      </c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>
        <v>94</v>
      </c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8:40" x14ac:dyDescent="0.2">
      <c r="H97" s="17"/>
      <c r="I97" s="17"/>
      <c r="J97" s="17"/>
      <c r="K97" s="26" t="s">
        <v>1613</v>
      </c>
      <c r="L97" s="27">
        <v>110</v>
      </c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>
        <v>95</v>
      </c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8:40" x14ac:dyDescent="0.2">
      <c r="H98" s="17"/>
      <c r="I98" s="17"/>
      <c r="J98" s="17"/>
      <c r="K98" s="26" t="s">
        <v>1614</v>
      </c>
      <c r="L98" s="27">
        <v>111</v>
      </c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>
        <v>96</v>
      </c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8:40" x14ac:dyDescent="0.2">
      <c r="H99" s="17"/>
      <c r="I99" s="17"/>
      <c r="J99" s="17"/>
      <c r="K99" s="26" t="s">
        <v>1266</v>
      </c>
      <c r="L99" s="27">
        <v>112</v>
      </c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>
        <v>97</v>
      </c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8:40" x14ac:dyDescent="0.2">
      <c r="H100" s="17"/>
      <c r="I100" s="17"/>
      <c r="J100" s="17"/>
      <c r="K100" s="26" t="s">
        <v>1615</v>
      </c>
      <c r="L100" s="27">
        <v>113</v>
      </c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>
        <v>98</v>
      </c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8:40" x14ac:dyDescent="0.2">
      <c r="H101" s="17"/>
      <c r="I101" s="17"/>
      <c r="J101" s="17"/>
      <c r="K101" s="26" t="s">
        <v>1616</v>
      </c>
      <c r="L101" s="27">
        <v>114</v>
      </c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>
        <v>99</v>
      </c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8:40" x14ac:dyDescent="0.2">
      <c r="H102" s="17"/>
      <c r="I102" s="17"/>
      <c r="J102" s="17"/>
      <c r="K102" s="26" t="s">
        <v>1351</v>
      </c>
      <c r="L102" s="27">
        <v>116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>
        <v>100</v>
      </c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8:40" x14ac:dyDescent="0.2">
      <c r="H103" s="17"/>
      <c r="I103" s="17"/>
      <c r="J103" s="17"/>
      <c r="K103" s="26" t="s">
        <v>281</v>
      </c>
      <c r="L103" s="27">
        <v>117</v>
      </c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>
        <v>101</v>
      </c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8:40" x14ac:dyDescent="0.2">
      <c r="H104" s="17"/>
      <c r="I104" s="17"/>
      <c r="J104" s="17"/>
      <c r="K104" s="26" t="s">
        <v>495</v>
      </c>
      <c r="L104" s="27">
        <v>118</v>
      </c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>
        <v>102</v>
      </c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8:40" x14ac:dyDescent="0.2">
      <c r="H105" s="17"/>
      <c r="I105" s="17"/>
      <c r="J105" s="17"/>
      <c r="K105" s="26" t="s">
        <v>554</v>
      </c>
      <c r="L105" s="27">
        <v>119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>
        <v>103</v>
      </c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8:40" x14ac:dyDescent="0.2">
      <c r="H106" s="17"/>
      <c r="I106" s="17"/>
      <c r="J106" s="17"/>
      <c r="K106" s="26" t="s">
        <v>455</v>
      </c>
      <c r="L106" s="27">
        <v>120</v>
      </c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>
        <v>104</v>
      </c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8:40" x14ac:dyDescent="0.2">
      <c r="H107" s="17"/>
      <c r="I107" s="17"/>
      <c r="J107" s="17"/>
      <c r="K107" s="26" t="s">
        <v>1617</v>
      </c>
      <c r="L107" s="27">
        <v>121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>
        <v>105</v>
      </c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spans="8:40" x14ac:dyDescent="0.2">
      <c r="H108" s="17"/>
      <c r="I108" s="17"/>
      <c r="J108" s="17"/>
      <c r="K108" s="26" t="s">
        <v>607</v>
      </c>
      <c r="L108" s="27">
        <v>122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>
        <v>106</v>
      </c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spans="8:40" x14ac:dyDescent="0.2">
      <c r="H109" s="17"/>
      <c r="I109" s="17"/>
      <c r="J109" s="17"/>
      <c r="K109" s="26" t="s">
        <v>1618</v>
      </c>
      <c r="L109" s="27">
        <v>124</v>
      </c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>
        <v>107</v>
      </c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spans="8:40" x14ac:dyDescent="0.2">
      <c r="H110" s="17"/>
      <c r="I110" s="17"/>
      <c r="J110" s="17"/>
      <c r="K110" s="26" t="s">
        <v>511</v>
      </c>
      <c r="L110" s="27">
        <v>125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>
        <v>108</v>
      </c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spans="8:40" x14ac:dyDescent="0.2">
      <c r="H111" s="17"/>
      <c r="I111" s="17"/>
      <c r="J111" s="17"/>
      <c r="K111" s="26" t="s">
        <v>43</v>
      </c>
      <c r="L111" s="27">
        <v>126</v>
      </c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>
        <v>109</v>
      </c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spans="8:40" x14ac:dyDescent="0.2">
      <c r="H112" s="17"/>
      <c r="I112" s="17"/>
      <c r="J112" s="17"/>
      <c r="K112" s="26" t="s">
        <v>425</v>
      </c>
      <c r="L112" s="27">
        <v>127</v>
      </c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>
        <v>110</v>
      </c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spans="8:40" x14ac:dyDescent="0.2">
      <c r="H113" s="17"/>
      <c r="I113" s="17"/>
      <c r="J113" s="17"/>
      <c r="K113" s="26" t="s">
        <v>566</v>
      </c>
      <c r="L113" s="27">
        <v>128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>
        <v>111</v>
      </c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spans="8:40" x14ac:dyDescent="0.2">
      <c r="H114" s="17"/>
      <c r="I114" s="17"/>
      <c r="J114" s="17"/>
      <c r="K114" s="26" t="s">
        <v>502</v>
      </c>
      <c r="L114" s="27">
        <v>129</v>
      </c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>
        <v>112</v>
      </c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spans="8:40" x14ac:dyDescent="0.2">
      <c r="H115" s="17"/>
      <c r="I115" s="17"/>
      <c r="J115" s="17"/>
      <c r="K115" s="26" t="s">
        <v>988</v>
      </c>
      <c r="L115" s="27">
        <v>130</v>
      </c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>
        <v>113</v>
      </c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spans="8:40" x14ac:dyDescent="0.2">
      <c r="H116" s="17"/>
      <c r="I116" s="17"/>
      <c r="J116" s="17"/>
      <c r="K116" s="26" t="s">
        <v>1198</v>
      </c>
      <c r="L116" s="27">
        <v>131</v>
      </c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>
        <v>114</v>
      </c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spans="8:40" x14ac:dyDescent="0.2">
      <c r="H117" s="17"/>
      <c r="I117" s="17"/>
      <c r="J117" s="17"/>
      <c r="K117" s="26" t="s">
        <v>51</v>
      </c>
      <c r="L117" s="27">
        <v>132</v>
      </c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>
        <v>115</v>
      </c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spans="8:40" x14ac:dyDescent="0.2">
      <c r="H118" s="17"/>
      <c r="I118" s="17"/>
      <c r="J118" s="17"/>
      <c r="K118" s="26" t="s">
        <v>1619</v>
      </c>
      <c r="L118" s="27">
        <v>134</v>
      </c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>
        <v>116</v>
      </c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spans="8:40" x14ac:dyDescent="0.2">
      <c r="H119" s="17"/>
      <c r="I119" s="17"/>
      <c r="J119" s="17"/>
      <c r="K119" s="26" t="s">
        <v>1620</v>
      </c>
      <c r="L119" s="27">
        <v>135</v>
      </c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>
        <v>117</v>
      </c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spans="8:40" x14ac:dyDescent="0.2">
      <c r="H120" s="17"/>
      <c r="I120" s="17"/>
      <c r="J120" s="17"/>
      <c r="K120" s="26" t="s">
        <v>1327</v>
      </c>
      <c r="L120" s="27">
        <v>136</v>
      </c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>
        <v>118</v>
      </c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spans="8:40" x14ac:dyDescent="0.2">
      <c r="H121" s="17"/>
      <c r="I121" s="17"/>
      <c r="J121" s="17"/>
      <c r="K121" s="26" t="s">
        <v>1192</v>
      </c>
      <c r="L121" s="27">
        <v>137</v>
      </c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>
        <v>119</v>
      </c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spans="8:40" x14ac:dyDescent="0.2">
      <c r="H122" s="17"/>
      <c r="I122" s="17"/>
      <c r="J122" s="17"/>
      <c r="K122" s="26" t="s">
        <v>1621</v>
      </c>
      <c r="L122" s="27">
        <v>138</v>
      </c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>
        <v>120</v>
      </c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spans="8:40" x14ac:dyDescent="0.2">
      <c r="H123" s="17"/>
      <c r="I123" s="17"/>
      <c r="J123" s="17"/>
      <c r="K123" s="26" t="s">
        <v>1622</v>
      </c>
      <c r="L123" s="27">
        <v>139</v>
      </c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>
        <v>121</v>
      </c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spans="8:40" x14ac:dyDescent="0.2">
      <c r="H124" s="17"/>
      <c r="I124" s="17"/>
      <c r="J124" s="17"/>
      <c r="K124" s="26" t="s">
        <v>910</v>
      </c>
      <c r="L124" s="27">
        <v>140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>
        <v>122</v>
      </c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spans="8:40" x14ac:dyDescent="0.2">
      <c r="H125" s="17"/>
      <c r="I125" s="17"/>
      <c r="J125" s="17"/>
      <c r="K125" s="26" t="s">
        <v>888</v>
      </c>
      <c r="L125" s="27">
        <v>141</v>
      </c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>
        <v>123</v>
      </c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spans="8:40" x14ac:dyDescent="0.2">
      <c r="H126" s="17"/>
      <c r="I126" s="17"/>
      <c r="J126" s="17"/>
      <c r="K126" s="26" t="s">
        <v>21</v>
      </c>
      <c r="L126" s="27">
        <v>142</v>
      </c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>
        <v>124</v>
      </c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spans="8:40" x14ac:dyDescent="0.2">
      <c r="H127" s="17"/>
      <c r="I127" s="17"/>
      <c r="J127" s="17"/>
      <c r="K127" s="26" t="s">
        <v>1146</v>
      </c>
      <c r="L127" s="27">
        <v>143</v>
      </c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>
        <v>125</v>
      </c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spans="8:40" x14ac:dyDescent="0.2">
      <c r="H128" s="17"/>
      <c r="I128" s="17"/>
      <c r="J128" s="17"/>
      <c r="K128" s="26" t="s">
        <v>1214</v>
      </c>
      <c r="L128" s="27">
        <v>144</v>
      </c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>
        <v>126</v>
      </c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spans="8:40" x14ac:dyDescent="0.2">
      <c r="H129" s="17"/>
      <c r="I129" s="17"/>
      <c r="J129" s="17"/>
      <c r="K129" s="26" t="s">
        <v>945</v>
      </c>
      <c r="L129" s="27">
        <v>145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spans="8:40" x14ac:dyDescent="0.2">
      <c r="H130" s="17"/>
      <c r="I130" s="17"/>
      <c r="J130" s="17"/>
      <c r="K130" s="26" t="s">
        <v>726</v>
      </c>
      <c r="L130" s="27">
        <v>146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>
        <v>127</v>
      </c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spans="8:40" x14ac:dyDescent="0.2">
      <c r="H131" s="17"/>
      <c r="I131" s="17"/>
      <c r="J131" s="17"/>
      <c r="K131" s="26" t="s">
        <v>441</v>
      </c>
      <c r="L131" s="27">
        <v>147</v>
      </c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>
        <v>128</v>
      </c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spans="8:40" x14ac:dyDescent="0.2">
      <c r="H132" s="17"/>
      <c r="I132" s="17"/>
      <c r="J132" s="17"/>
      <c r="K132" s="26" t="s">
        <v>643</v>
      </c>
      <c r="L132" s="27">
        <v>148</v>
      </c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>
        <v>129</v>
      </c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spans="8:40" x14ac:dyDescent="0.2">
      <c r="H133" s="17"/>
      <c r="I133" s="17"/>
      <c r="J133" s="17"/>
      <c r="K133" s="26" t="s">
        <v>149</v>
      </c>
      <c r="L133" s="27">
        <v>149</v>
      </c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>
        <v>130</v>
      </c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spans="8:40" x14ac:dyDescent="0.2">
      <c r="H134" s="17"/>
      <c r="I134" s="17"/>
      <c r="J134" s="17"/>
      <c r="K134" s="26" t="s">
        <v>733</v>
      </c>
      <c r="L134" s="27">
        <v>152</v>
      </c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>
        <v>131</v>
      </c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spans="8:40" x14ac:dyDescent="0.2">
      <c r="H135" s="17"/>
      <c r="I135" s="17"/>
      <c r="J135" s="17"/>
      <c r="K135" s="26" t="s">
        <v>816</v>
      </c>
      <c r="L135" s="27">
        <v>153</v>
      </c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>
        <v>132</v>
      </c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spans="8:40" x14ac:dyDescent="0.2">
      <c r="H136" s="17"/>
      <c r="I136" s="17"/>
      <c r="J136" s="17"/>
      <c r="K136" s="26" t="s">
        <v>777</v>
      </c>
      <c r="L136" s="27">
        <v>154</v>
      </c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>
        <v>133</v>
      </c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spans="8:40" x14ac:dyDescent="0.2">
      <c r="H137" s="17"/>
      <c r="I137" s="17"/>
      <c r="J137" s="17"/>
      <c r="K137" s="26" t="s">
        <v>1242</v>
      </c>
      <c r="L137" s="27">
        <v>155</v>
      </c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>
        <v>134</v>
      </c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spans="8:40" x14ac:dyDescent="0.2">
      <c r="H138" s="17"/>
      <c r="I138" s="17"/>
      <c r="J138" s="17"/>
      <c r="K138" s="26" t="s">
        <v>275</v>
      </c>
      <c r="L138" s="27">
        <v>156</v>
      </c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>
        <v>135</v>
      </c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spans="8:40" x14ac:dyDescent="0.2">
      <c r="H139" s="17"/>
      <c r="I139" s="17"/>
      <c r="J139" s="17"/>
      <c r="K139" s="26" t="s">
        <v>118</v>
      </c>
      <c r="L139" s="27">
        <v>159</v>
      </c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>
        <v>136</v>
      </c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spans="8:40" x14ac:dyDescent="0.2">
      <c r="H140" s="17"/>
      <c r="I140" s="17"/>
      <c r="J140" s="17"/>
      <c r="K140" s="26" t="s">
        <v>772</v>
      </c>
      <c r="L140" s="27">
        <v>161</v>
      </c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>
        <v>137</v>
      </c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spans="8:40" x14ac:dyDescent="0.2">
      <c r="H141" s="17"/>
      <c r="I141" s="17"/>
      <c r="J141" s="17"/>
      <c r="K141" s="26" t="s">
        <v>1368</v>
      </c>
      <c r="L141" s="27">
        <v>162</v>
      </c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>
        <v>138</v>
      </c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spans="8:40" x14ac:dyDescent="0.2">
      <c r="H142" s="17"/>
      <c r="I142" s="17"/>
      <c r="J142" s="17"/>
      <c r="K142" s="26" t="s">
        <v>374</v>
      </c>
      <c r="L142" s="27">
        <v>163</v>
      </c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>
        <v>139</v>
      </c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spans="8:40" x14ac:dyDescent="0.2">
      <c r="H143" s="17"/>
      <c r="I143" s="17"/>
      <c r="J143" s="17"/>
      <c r="K143" s="26" t="s">
        <v>1122</v>
      </c>
      <c r="L143" s="27">
        <v>164</v>
      </c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>
        <v>140</v>
      </c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spans="8:40" x14ac:dyDescent="0.2">
      <c r="H144" s="17"/>
      <c r="I144" s="17"/>
      <c r="J144" s="17"/>
      <c r="K144" s="26" t="s">
        <v>1623</v>
      </c>
      <c r="L144" s="27">
        <v>165</v>
      </c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>
        <v>141</v>
      </c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spans="8:40" x14ac:dyDescent="0.2">
      <c r="H145" s="17"/>
      <c r="I145" s="17"/>
      <c r="J145" s="17"/>
      <c r="K145" s="26" t="s">
        <v>361</v>
      </c>
      <c r="L145" s="27">
        <v>166</v>
      </c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>
        <v>142</v>
      </c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spans="8:40" x14ac:dyDescent="0.2">
      <c r="H146" s="17"/>
      <c r="I146" s="17"/>
      <c r="J146" s="17"/>
      <c r="K146" s="26" t="s">
        <v>896</v>
      </c>
      <c r="L146" s="27">
        <v>167</v>
      </c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>
        <v>143</v>
      </c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spans="8:40" x14ac:dyDescent="0.2">
      <c r="H147" s="17"/>
      <c r="I147" s="17"/>
      <c r="J147" s="17"/>
      <c r="K147" s="26" t="s">
        <v>1138</v>
      </c>
      <c r="L147" s="27">
        <v>168</v>
      </c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>
        <v>144</v>
      </c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spans="8:40" x14ac:dyDescent="0.2">
      <c r="H148" s="17"/>
      <c r="I148" s="17"/>
      <c r="J148" s="17"/>
      <c r="K148" s="26" t="s">
        <v>588</v>
      </c>
      <c r="L148" s="27">
        <v>169</v>
      </c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>
        <v>146</v>
      </c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spans="8:40" x14ac:dyDescent="0.2">
      <c r="H149" s="17"/>
      <c r="I149" s="17"/>
      <c r="J149" s="17"/>
      <c r="K149" s="26" t="s">
        <v>1285</v>
      </c>
      <c r="L149" s="27">
        <v>170</v>
      </c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>
        <v>147</v>
      </c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spans="8:40" x14ac:dyDescent="0.2">
      <c r="H150" s="17"/>
      <c r="I150" s="17"/>
      <c r="J150" s="17"/>
      <c r="K150" s="26" t="s">
        <v>958</v>
      </c>
      <c r="L150" s="27">
        <v>171</v>
      </c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>
        <v>148</v>
      </c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spans="8:40" x14ac:dyDescent="0.2">
      <c r="H151" s="17"/>
      <c r="I151" s="17"/>
      <c r="J151" s="17"/>
      <c r="K151" s="26" t="s">
        <v>1504</v>
      </c>
      <c r="L151" s="27">
        <v>172</v>
      </c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>
        <v>149</v>
      </c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spans="8:40" x14ac:dyDescent="0.2">
      <c r="H152" s="17"/>
      <c r="I152" s="17"/>
      <c r="J152" s="17"/>
      <c r="K152" s="26" t="s">
        <v>794</v>
      </c>
      <c r="L152" s="27">
        <v>173</v>
      </c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>
        <v>150</v>
      </c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spans="8:40" x14ac:dyDescent="0.2">
      <c r="H153" s="17"/>
      <c r="I153" s="17"/>
      <c r="J153" s="17"/>
      <c r="K153" s="26" t="s">
        <v>527</v>
      </c>
      <c r="L153" s="27">
        <v>174</v>
      </c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>
        <v>151</v>
      </c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spans="8:40" x14ac:dyDescent="0.2">
      <c r="H154" s="17"/>
      <c r="I154" s="17"/>
      <c r="J154" s="17"/>
      <c r="K154" s="26" t="s">
        <v>1624</v>
      </c>
      <c r="L154" s="27">
        <v>175</v>
      </c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>
        <v>152</v>
      </c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spans="8:40" x14ac:dyDescent="0.2">
      <c r="H155" s="17"/>
      <c r="I155" s="17"/>
      <c r="J155" s="17"/>
      <c r="K155" s="26" t="s">
        <v>1259</v>
      </c>
      <c r="L155" s="27">
        <v>176</v>
      </c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>
        <v>153</v>
      </c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spans="8:40" x14ac:dyDescent="0.2">
      <c r="H156" s="17"/>
      <c r="I156" s="17"/>
      <c r="J156" s="17"/>
      <c r="K156" s="26" t="s">
        <v>199</v>
      </c>
      <c r="L156" s="27">
        <v>177</v>
      </c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>
        <v>154</v>
      </c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spans="8:40" x14ac:dyDescent="0.2">
      <c r="H157" s="17"/>
      <c r="I157" s="17"/>
      <c r="J157" s="17"/>
      <c r="K157" s="26" t="s">
        <v>229</v>
      </c>
      <c r="L157" s="27">
        <v>178</v>
      </c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spans="8:40" x14ac:dyDescent="0.2">
      <c r="H158" s="17"/>
      <c r="I158" s="17"/>
      <c r="J158" s="17"/>
      <c r="K158" s="26" t="s">
        <v>1625</v>
      </c>
      <c r="L158" s="27">
        <v>179</v>
      </c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>
        <v>155</v>
      </c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spans="8:40" x14ac:dyDescent="0.2">
      <c r="H159" s="17"/>
      <c r="I159" s="17"/>
      <c r="J159" s="17"/>
      <c r="K159" s="26" t="s">
        <v>1626</v>
      </c>
      <c r="L159" s="27">
        <v>180</v>
      </c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>
        <v>156</v>
      </c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spans="8:40" x14ac:dyDescent="0.2">
      <c r="H160" s="17"/>
      <c r="I160" s="17"/>
      <c r="J160" s="17"/>
      <c r="K160" s="26" t="s">
        <v>1034</v>
      </c>
      <c r="L160" s="27">
        <v>182</v>
      </c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>
        <v>157</v>
      </c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spans="8:40" x14ac:dyDescent="0.2">
      <c r="H161" s="17"/>
      <c r="I161" s="17"/>
      <c r="J161" s="17"/>
      <c r="K161" s="26" t="s">
        <v>824</v>
      </c>
      <c r="L161" s="27">
        <v>183</v>
      </c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>
        <v>158</v>
      </c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spans="8:40" x14ac:dyDescent="0.2">
      <c r="H162" s="17"/>
      <c r="I162" s="17"/>
      <c r="J162" s="17"/>
      <c r="K162" s="26" t="s">
        <v>1627</v>
      </c>
      <c r="L162" s="27">
        <v>184</v>
      </c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>
        <v>159</v>
      </c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spans="8:40" x14ac:dyDescent="0.2">
      <c r="H163" s="17"/>
      <c r="I163" s="17"/>
      <c r="J163" s="17"/>
      <c r="K163" s="26" t="s">
        <v>268</v>
      </c>
      <c r="L163" s="27">
        <v>185</v>
      </c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spans="8:40" x14ac:dyDescent="0.2">
      <c r="H164" s="17"/>
      <c r="I164" s="17"/>
      <c r="J164" s="17"/>
      <c r="K164" s="26" t="s">
        <v>1430</v>
      </c>
      <c r="L164" s="27">
        <v>186</v>
      </c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>
        <v>160</v>
      </c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spans="8:40" x14ac:dyDescent="0.2">
      <c r="H165" s="17"/>
      <c r="I165" s="17"/>
      <c r="J165" s="17"/>
      <c r="K165" s="26" t="s">
        <v>560</v>
      </c>
      <c r="L165" s="27">
        <v>188</v>
      </c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>
        <v>161</v>
      </c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spans="8:40" x14ac:dyDescent="0.2">
      <c r="H166" s="17"/>
      <c r="I166" s="17"/>
      <c r="J166" s="17"/>
      <c r="K166" s="26" t="s">
        <v>93</v>
      </c>
      <c r="L166" s="27">
        <v>189</v>
      </c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>
        <v>162</v>
      </c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spans="8:40" x14ac:dyDescent="0.2">
      <c r="H167" s="17"/>
      <c r="I167" s="17"/>
      <c r="J167" s="17"/>
      <c r="K167" s="26" t="s">
        <v>1628</v>
      </c>
      <c r="L167" s="27">
        <v>192</v>
      </c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>
        <v>163</v>
      </c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spans="8:40" x14ac:dyDescent="0.2">
      <c r="H168" s="17"/>
      <c r="I168" s="17"/>
      <c r="J168" s="17"/>
      <c r="K168" s="26" t="s">
        <v>1629</v>
      </c>
      <c r="L168" s="27">
        <v>193</v>
      </c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>
        <v>164</v>
      </c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spans="8:40" x14ac:dyDescent="0.2">
      <c r="H169" s="17"/>
      <c r="I169" s="17"/>
      <c r="J169" s="17"/>
      <c r="K169" s="26" t="s">
        <v>1630</v>
      </c>
      <c r="L169" s="27">
        <v>194</v>
      </c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>
        <v>165</v>
      </c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spans="8:40" x14ac:dyDescent="0.2">
      <c r="H170" s="17"/>
      <c r="I170" s="17"/>
      <c r="J170" s="17"/>
      <c r="K170" s="26" t="s">
        <v>630</v>
      </c>
      <c r="L170" s="27">
        <v>196</v>
      </c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>
        <v>166</v>
      </c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spans="8:40" x14ac:dyDescent="0.2">
      <c r="H171" s="17"/>
      <c r="I171" s="17"/>
      <c r="J171" s="17"/>
      <c r="K171" s="26" t="s">
        <v>1279</v>
      </c>
      <c r="L171" s="27">
        <v>197</v>
      </c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>
        <v>167</v>
      </c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spans="8:40" x14ac:dyDescent="0.2">
      <c r="H172" s="17"/>
      <c r="I172" s="17"/>
      <c r="J172" s="17"/>
      <c r="K172" s="26" t="s">
        <v>1043</v>
      </c>
      <c r="L172" s="27">
        <v>199</v>
      </c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>
        <v>168</v>
      </c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spans="8:40" x14ac:dyDescent="0.2">
      <c r="H173" s="17"/>
      <c r="I173" s="17"/>
      <c r="J173" s="17"/>
      <c r="K173" s="26" t="s">
        <v>1235</v>
      </c>
      <c r="L173" s="27">
        <v>200</v>
      </c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>
        <v>169</v>
      </c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spans="8:40" x14ac:dyDescent="0.2">
      <c r="H174" s="17"/>
      <c r="I174" s="17"/>
      <c r="J174" s="17"/>
      <c r="K174" s="26" t="s">
        <v>320</v>
      </c>
      <c r="L174" s="27">
        <v>201</v>
      </c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>
        <v>170</v>
      </c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spans="8:40" x14ac:dyDescent="0.2">
      <c r="H175" s="17"/>
      <c r="I175" s="17"/>
      <c r="J175" s="17"/>
      <c r="K175" s="26" t="s">
        <v>369</v>
      </c>
      <c r="L175" s="27">
        <v>202</v>
      </c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>
        <v>171</v>
      </c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spans="8:40" x14ac:dyDescent="0.2">
      <c r="H176" s="17"/>
      <c r="I176" s="17"/>
      <c r="J176" s="17"/>
      <c r="K176" s="26" t="s">
        <v>1631</v>
      </c>
      <c r="L176" s="27">
        <v>203</v>
      </c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>
        <v>172</v>
      </c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spans="8:40" x14ac:dyDescent="0.2">
      <c r="H177" s="17"/>
      <c r="I177" s="17"/>
      <c r="J177" s="17"/>
      <c r="K177" s="26" t="s">
        <v>1632</v>
      </c>
      <c r="L177" s="27">
        <v>204</v>
      </c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>
        <v>173</v>
      </c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spans="8:40" x14ac:dyDescent="0.2">
      <c r="H178" s="17"/>
      <c r="I178" s="17"/>
      <c r="J178" s="17"/>
      <c r="K178" s="26" t="s">
        <v>572</v>
      </c>
      <c r="L178" s="27">
        <v>205</v>
      </c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>
        <v>174</v>
      </c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spans="8:40" x14ac:dyDescent="0.2">
      <c r="H179" s="17"/>
      <c r="I179" s="17"/>
      <c r="J179" s="17"/>
      <c r="K179" s="26" t="s">
        <v>1014</v>
      </c>
      <c r="L179" s="27">
        <v>206</v>
      </c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>
        <v>175</v>
      </c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spans="8:40" x14ac:dyDescent="0.2">
      <c r="H180" s="17"/>
      <c r="I180" s="17"/>
      <c r="J180" s="17"/>
      <c r="K180" s="26" t="s">
        <v>1300</v>
      </c>
      <c r="L180" s="27">
        <v>207</v>
      </c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>
        <v>176</v>
      </c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spans="8:40" x14ac:dyDescent="0.2">
      <c r="H181" s="17"/>
      <c r="I181" s="17"/>
      <c r="J181" s="17"/>
      <c r="K181" s="26" t="s">
        <v>243</v>
      </c>
      <c r="L181" s="27">
        <v>208</v>
      </c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>
        <v>177</v>
      </c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spans="8:40" x14ac:dyDescent="0.2">
      <c r="H182" s="17"/>
      <c r="I182" s="17"/>
      <c r="J182" s="17"/>
      <c r="K182" s="26" t="s">
        <v>756</v>
      </c>
      <c r="L182" s="27">
        <v>209</v>
      </c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>
        <v>178</v>
      </c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spans="8:40" x14ac:dyDescent="0.2">
      <c r="H183" s="17"/>
      <c r="I183" s="17"/>
      <c r="J183" s="17"/>
      <c r="K183" s="26" t="s">
        <v>1451</v>
      </c>
      <c r="L183" s="27">
        <v>210</v>
      </c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>
        <v>179</v>
      </c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spans="8:40" x14ac:dyDescent="0.2">
      <c r="H184" s="17"/>
      <c r="I184" s="17"/>
      <c r="J184" s="17"/>
      <c r="K184" s="26" t="s">
        <v>840</v>
      </c>
      <c r="L184" s="27">
        <v>211</v>
      </c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>
        <v>180</v>
      </c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spans="8:40" x14ac:dyDescent="0.2">
      <c r="H185" s="17"/>
      <c r="I185" s="17"/>
      <c r="J185" s="17"/>
      <c r="K185" s="26" t="s">
        <v>1633</v>
      </c>
      <c r="L185" s="27">
        <v>212</v>
      </c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>
        <v>181</v>
      </c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spans="8:40" x14ac:dyDescent="0.2">
      <c r="H186" s="17"/>
      <c r="I186" s="17"/>
      <c r="J186" s="17"/>
      <c r="K186" s="26" t="s">
        <v>657</v>
      </c>
      <c r="L186" s="27">
        <v>213</v>
      </c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>
        <v>182</v>
      </c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spans="8:40" x14ac:dyDescent="0.2">
      <c r="H187" s="17"/>
      <c r="I187" s="17"/>
      <c r="J187" s="17"/>
      <c r="K187" s="26" t="s">
        <v>1634</v>
      </c>
      <c r="L187" s="27">
        <v>214</v>
      </c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>
        <v>183</v>
      </c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spans="8:40" x14ac:dyDescent="0.2">
      <c r="H188" s="17"/>
      <c r="I188" s="17"/>
      <c r="J188" s="17"/>
      <c r="K188" s="26" t="s">
        <v>846</v>
      </c>
      <c r="L188" s="27">
        <v>215</v>
      </c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spans="8:40" x14ac:dyDescent="0.2">
      <c r="H189" s="17"/>
      <c r="I189" s="17"/>
      <c r="J189" s="17"/>
      <c r="K189" s="26" t="s">
        <v>1319</v>
      </c>
      <c r="L189" s="27">
        <v>216</v>
      </c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>
        <v>184</v>
      </c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spans="8:40" x14ac:dyDescent="0.2">
      <c r="H190" s="17"/>
      <c r="I190" s="17"/>
      <c r="J190" s="17"/>
      <c r="K190" s="26" t="s">
        <v>1389</v>
      </c>
      <c r="L190" s="27">
        <v>218</v>
      </c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>
        <v>185</v>
      </c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spans="8:40" x14ac:dyDescent="0.2">
      <c r="H191" s="17"/>
      <c r="I191" s="17"/>
      <c r="J191" s="17"/>
      <c r="K191" s="26" t="s">
        <v>1635</v>
      </c>
      <c r="L191" s="27">
        <v>219</v>
      </c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>
        <v>186</v>
      </c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spans="8:40" x14ac:dyDescent="0.2">
      <c r="H192" s="17"/>
      <c r="I192" s="17"/>
      <c r="J192" s="17"/>
      <c r="K192" s="26" t="s">
        <v>1636</v>
      </c>
      <c r="L192" s="27">
        <v>220</v>
      </c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>
        <v>187</v>
      </c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spans="8:40" x14ac:dyDescent="0.2">
      <c r="H193" s="17"/>
      <c r="I193" s="17"/>
      <c r="J193" s="17"/>
      <c r="K193" s="26" t="s">
        <v>1672</v>
      </c>
      <c r="L193" s="27">
        <v>221</v>
      </c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>
        <v>188</v>
      </c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spans="8:40" x14ac:dyDescent="0.2">
      <c r="H194" s="17"/>
      <c r="I194" s="17"/>
      <c r="J194" s="17"/>
      <c r="K194" s="26" t="s">
        <v>1637</v>
      </c>
      <c r="L194" s="27">
        <v>223</v>
      </c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>
        <v>189</v>
      </c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spans="8:40" x14ac:dyDescent="0.2">
      <c r="H195" s="17"/>
      <c r="I195" s="17"/>
      <c r="J195" s="17"/>
      <c r="K195" s="26" t="s">
        <v>1638</v>
      </c>
      <c r="L195" s="27">
        <v>224</v>
      </c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>
        <v>190</v>
      </c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spans="8:40" x14ac:dyDescent="0.2">
      <c r="H196" s="17"/>
      <c r="I196" s="17"/>
      <c r="J196" s="17"/>
      <c r="K196" s="26" t="s">
        <v>673</v>
      </c>
      <c r="L196" s="27">
        <v>225</v>
      </c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>
        <v>191</v>
      </c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spans="8:40" x14ac:dyDescent="0.2">
      <c r="H197" s="17"/>
      <c r="I197" s="17"/>
      <c r="J197" s="17"/>
      <c r="K197" s="26" t="s">
        <v>1445</v>
      </c>
      <c r="L197" s="27">
        <v>228</v>
      </c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>
        <v>192</v>
      </c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spans="8:40" x14ac:dyDescent="0.2">
      <c r="H198" s="17"/>
      <c r="I198" s="17"/>
      <c r="J198" s="17"/>
      <c r="K198" s="26" t="s">
        <v>1639</v>
      </c>
      <c r="L198" s="27">
        <v>229</v>
      </c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>
        <v>193</v>
      </c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spans="8:40" x14ac:dyDescent="0.2">
      <c r="H199" s="17"/>
      <c r="I199" s="17"/>
      <c r="J199" s="17"/>
      <c r="K199" s="26" t="s">
        <v>966</v>
      </c>
      <c r="L199" s="27">
        <v>231</v>
      </c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>
        <v>194</v>
      </c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spans="8:40" x14ac:dyDescent="0.2">
      <c r="H200" s="17"/>
      <c r="I200" s="17"/>
      <c r="J200" s="17"/>
      <c r="K200" s="26" t="s">
        <v>601</v>
      </c>
      <c r="L200" s="27">
        <v>232</v>
      </c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>
        <v>195</v>
      </c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spans="8:40" x14ac:dyDescent="0.2">
      <c r="H201" s="17"/>
      <c r="I201" s="17"/>
      <c r="J201" s="17"/>
      <c r="K201" s="26" t="s">
        <v>126</v>
      </c>
      <c r="L201" s="27">
        <v>233</v>
      </c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>
        <v>196</v>
      </c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spans="8:40" x14ac:dyDescent="0.2">
      <c r="H202" s="17"/>
      <c r="I202" s="17"/>
      <c r="J202" s="17"/>
      <c r="K202" s="26" t="s">
        <v>1640</v>
      </c>
      <c r="L202" s="27">
        <v>234</v>
      </c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>
        <v>197</v>
      </c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spans="8:40" x14ac:dyDescent="0.2">
      <c r="H203" s="17"/>
      <c r="I203" s="17"/>
      <c r="J203" s="17"/>
      <c r="K203" s="26" t="s">
        <v>390</v>
      </c>
      <c r="L203" s="27">
        <v>237</v>
      </c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>
        <v>198</v>
      </c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spans="8:40" x14ac:dyDescent="0.2">
      <c r="K204" s="26" t="s">
        <v>1185</v>
      </c>
      <c r="L204" s="27">
        <v>238</v>
      </c>
      <c r="Y204" s="36">
        <v>199</v>
      </c>
    </row>
    <row r="205" spans="8:40" x14ac:dyDescent="0.2">
      <c r="K205" s="26" t="s">
        <v>1641</v>
      </c>
      <c r="L205" s="27">
        <v>239</v>
      </c>
      <c r="Y205" s="36">
        <v>200</v>
      </c>
    </row>
    <row r="206" spans="8:40" x14ac:dyDescent="0.2">
      <c r="K206" s="26" t="s">
        <v>1642</v>
      </c>
      <c r="L206" s="27">
        <v>240</v>
      </c>
      <c r="Y206" s="36">
        <v>201</v>
      </c>
    </row>
    <row r="207" spans="8:40" x14ac:dyDescent="0.2">
      <c r="K207" s="26" t="s">
        <v>1643</v>
      </c>
      <c r="L207" s="27">
        <v>241</v>
      </c>
      <c r="Y207" s="36">
        <v>202</v>
      </c>
    </row>
    <row r="208" spans="8:40" x14ac:dyDescent="0.2">
      <c r="K208" s="26" t="s">
        <v>1644</v>
      </c>
      <c r="L208" s="27">
        <v>242</v>
      </c>
      <c r="Y208" s="36">
        <v>203</v>
      </c>
    </row>
    <row r="209" spans="11:25" x14ac:dyDescent="0.2">
      <c r="K209" s="26" t="s">
        <v>1645</v>
      </c>
      <c r="L209" s="27">
        <v>243</v>
      </c>
      <c r="Y209" s="36">
        <v>204</v>
      </c>
    </row>
    <row r="210" spans="11:25" x14ac:dyDescent="0.2">
      <c r="K210" s="26" t="s">
        <v>1646</v>
      </c>
      <c r="L210" s="27">
        <v>244</v>
      </c>
      <c r="Y210" s="36">
        <v>205</v>
      </c>
    </row>
    <row r="211" spans="11:25" x14ac:dyDescent="0.2">
      <c r="K211" s="26" t="s">
        <v>580</v>
      </c>
      <c r="L211" s="27">
        <v>245</v>
      </c>
      <c r="Y211" s="36">
        <v>206</v>
      </c>
    </row>
    <row r="212" spans="11:25" x14ac:dyDescent="0.2">
      <c r="K212" s="26" t="s">
        <v>1272</v>
      </c>
      <c r="L212" s="27">
        <v>246</v>
      </c>
      <c r="Y212" s="36">
        <v>207</v>
      </c>
    </row>
    <row r="213" spans="11:25" x14ac:dyDescent="0.2">
      <c r="K213" s="26" t="s">
        <v>1252</v>
      </c>
      <c r="L213" s="27">
        <v>247</v>
      </c>
      <c r="Y213" s="36">
        <v>208</v>
      </c>
    </row>
    <row r="214" spans="11:25" x14ac:dyDescent="0.2">
      <c r="K214" s="26" t="s">
        <v>1069</v>
      </c>
      <c r="L214" s="27">
        <v>248</v>
      </c>
      <c r="Y214" s="36">
        <v>209</v>
      </c>
    </row>
    <row r="215" spans="11:25" x14ac:dyDescent="0.2">
      <c r="Y215" s="36">
        <v>210</v>
      </c>
    </row>
    <row r="216" spans="11:25" x14ac:dyDescent="0.2">
      <c r="Y216" s="36">
        <v>211</v>
      </c>
    </row>
    <row r="217" spans="11:25" x14ac:dyDescent="0.2">
      <c r="Y217" s="36">
        <v>212</v>
      </c>
    </row>
    <row r="218" spans="11:25" x14ac:dyDescent="0.2">
      <c r="Y218" s="36">
        <v>213</v>
      </c>
    </row>
    <row r="219" spans="11:25" x14ac:dyDescent="0.2">
      <c r="Y219" s="36">
        <v>214</v>
      </c>
    </row>
    <row r="220" spans="11:25" x14ac:dyDescent="0.2">
      <c r="Y220" s="36">
        <v>215</v>
      </c>
    </row>
    <row r="221" spans="11:25" x14ac:dyDescent="0.2">
      <c r="Y221" s="36">
        <v>216</v>
      </c>
    </row>
    <row r="222" spans="11:25" x14ac:dyDescent="0.2">
      <c r="Y222" s="36">
        <v>217</v>
      </c>
    </row>
    <row r="223" spans="11:25" x14ac:dyDescent="0.2">
      <c r="Y223" s="36">
        <v>218</v>
      </c>
    </row>
    <row r="224" spans="11:25" x14ac:dyDescent="0.2">
      <c r="Y224" s="36">
        <v>219</v>
      </c>
    </row>
    <row r="225" spans="25:25" x14ac:dyDescent="0.2">
      <c r="Y225" s="36">
        <v>220</v>
      </c>
    </row>
    <row r="226" spans="25:25" x14ac:dyDescent="0.2">
      <c r="Y226" s="36">
        <v>221</v>
      </c>
    </row>
    <row r="227" spans="25:25" x14ac:dyDescent="0.2">
      <c r="Y227" s="36">
        <v>222</v>
      </c>
    </row>
    <row r="228" spans="25:25" x14ac:dyDescent="0.2">
      <c r="Y228" s="36">
        <v>223</v>
      </c>
    </row>
    <row r="229" spans="25:25" x14ac:dyDescent="0.2">
      <c r="Y229" s="36">
        <v>224</v>
      </c>
    </row>
    <row r="230" spans="25:25" x14ac:dyDescent="0.2">
      <c r="Y230" s="36">
        <v>225</v>
      </c>
    </row>
    <row r="231" spans="25:25" x14ac:dyDescent="0.2">
      <c r="Y231" s="36">
        <v>226</v>
      </c>
    </row>
    <row r="232" spans="25:25" x14ac:dyDescent="0.2">
      <c r="Y232" s="36">
        <v>227</v>
      </c>
    </row>
    <row r="233" spans="25:25" x14ac:dyDescent="0.2">
      <c r="Y233" s="36">
        <v>228</v>
      </c>
    </row>
    <row r="234" spans="25:25" x14ac:dyDescent="0.2">
      <c r="Y234" s="36">
        <v>229</v>
      </c>
    </row>
    <row r="235" spans="25:25" x14ac:dyDescent="0.2">
      <c r="Y235" s="36">
        <v>230</v>
      </c>
    </row>
    <row r="236" spans="25:25" x14ac:dyDescent="0.2">
      <c r="Y236" s="36">
        <v>231</v>
      </c>
    </row>
    <row r="237" spans="25:25" x14ac:dyDescent="0.2">
      <c r="Y237" s="36">
        <v>232</v>
      </c>
    </row>
    <row r="238" spans="25:25" x14ac:dyDescent="0.2">
      <c r="Y238" s="36">
        <v>233</v>
      </c>
    </row>
    <row r="239" spans="25:25" x14ac:dyDescent="0.2">
      <c r="Y239" s="36">
        <v>234</v>
      </c>
    </row>
    <row r="240" spans="25:25" x14ac:dyDescent="0.2">
      <c r="Y240" s="36">
        <v>235</v>
      </c>
    </row>
    <row r="241" spans="25:25" x14ac:dyDescent="0.2">
      <c r="Y241" s="36">
        <v>236</v>
      </c>
    </row>
    <row r="242" spans="25:25" x14ac:dyDescent="0.2">
      <c r="Y242" s="36">
        <v>237</v>
      </c>
    </row>
    <row r="243" spans="25:25" x14ac:dyDescent="0.2">
      <c r="Y243" s="36">
        <v>238</v>
      </c>
    </row>
    <row r="244" spans="25:25" x14ac:dyDescent="0.2">
      <c r="Y244" s="36">
        <v>239</v>
      </c>
    </row>
    <row r="245" spans="25:25" x14ac:dyDescent="0.2">
      <c r="Y245" s="36">
        <v>240</v>
      </c>
    </row>
    <row r="246" spans="25:25" x14ac:dyDescent="0.2">
      <c r="Y246" s="36">
        <v>241</v>
      </c>
    </row>
    <row r="247" spans="25:25" x14ac:dyDescent="0.2">
      <c r="Y247" s="36">
        <v>242</v>
      </c>
    </row>
    <row r="248" spans="25:25" x14ac:dyDescent="0.2">
      <c r="Y248" s="36">
        <v>243</v>
      </c>
    </row>
    <row r="249" spans="25:25" x14ac:dyDescent="0.2">
      <c r="Y249" s="36">
        <v>244</v>
      </c>
    </row>
    <row r="250" spans="25:25" x14ac:dyDescent="0.2">
      <c r="Y250" s="36">
        <v>245</v>
      </c>
    </row>
    <row r="251" spans="25:25" x14ac:dyDescent="0.2">
      <c r="Y251" s="36">
        <v>246</v>
      </c>
    </row>
    <row r="252" spans="25:25" x14ac:dyDescent="0.2">
      <c r="Y252" s="36">
        <v>247</v>
      </c>
    </row>
    <row r="253" spans="25:25" x14ac:dyDescent="0.2">
      <c r="Y253" s="36">
        <v>248</v>
      </c>
    </row>
    <row r="254" spans="25:25" x14ac:dyDescent="0.2">
      <c r="Y254" s="36">
        <v>249</v>
      </c>
    </row>
    <row r="255" spans="25:25" x14ac:dyDescent="0.2">
      <c r="Y255" s="36">
        <v>250</v>
      </c>
    </row>
    <row r="256" spans="25:25" x14ac:dyDescent="0.2">
      <c r="Y256" s="36">
        <v>251</v>
      </c>
    </row>
    <row r="257" spans="25:25" x14ac:dyDescent="0.2">
      <c r="Y257" s="36">
        <v>252</v>
      </c>
    </row>
    <row r="258" spans="25:25" x14ac:dyDescent="0.2">
      <c r="Y258" s="36">
        <v>253</v>
      </c>
    </row>
    <row r="259" spans="25:25" x14ac:dyDescent="0.2">
      <c r="Y259" s="36">
        <v>254</v>
      </c>
    </row>
    <row r="260" spans="25:25" x14ac:dyDescent="0.2">
      <c r="Y260" s="36">
        <v>255</v>
      </c>
    </row>
    <row r="261" spans="25:25" x14ac:dyDescent="0.2">
      <c r="Y261" s="36">
        <v>256</v>
      </c>
    </row>
    <row r="262" spans="25:25" x14ac:dyDescent="0.2">
      <c r="Y262" s="36">
        <v>257</v>
      </c>
    </row>
    <row r="263" spans="25:25" x14ac:dyDescent="0.2">
      <c r="Y263" s="36">
        <v>258</v>
      </c>
    </row>
    <row r="264" spans="25:25" x14ac:dyDescent="0.2">
      <c r="Y264" s="36">
        <v>259</v>
      </c>
    </row>
    <row r="265" spans="25:25" x14ac:dyDescent="0.2">
      <c r="Y265" s="36">
        <v>260</v>
      </c>
    </row>
    <row r="266" spans="25:25" x14ac:dyDescent="0.2">
      <c r="Y266" s="36">
        <v>261</v>
      </c>
    </row>
    <row r="267" spans="25:25" x14ac:dyDescent="0.2">
      <c r="Y267" s="36">
        <v>262</v>
      </c>
    </row>
    <row r="268" spans="25:25" x14ac:dyDescent="0.2">
      <c r="Y268" s="36">
        <v>263</v>
      </c>
    </row>
    <row r="269" spans="25:25" x14ac:dyDescent="0.2">
      <c r="Y269" s="36">
        <v>264</v>
      </c>
    </row>
    <row r="270" spans="25:25" x14ac:dyDescent="0.2">
      <c r="Y270" s="36">
        <v>265</v>
      </c>
    </row>
    <row r="271" spans="25:25" x14ac:dyDescent="0.2">
      <c r="Y271" s="36">
        <v>266</v>
      </c>
    </row>
    <row r="272" spans="25:25" x14ac:dyDescent="0.2">
      <c r="Y272" s="36">
        <v>267</v>
      </c>
    </row>
    <row r="273" spans="25:25" x14ac:dyDescent="0.2">
      <c r="Y273" s="36">
        <v>268</v>
      </c>
    </row>
    <row r="274" spans="25:25" x14ac:dyDescent="0.2">
      <c r="Y274" s="36">
        <v>269</v>
      </c>
    </row>
    <row r="275" spans="25:25" x14ac:dyDescent="0.2">
      <c r="Y275" s="36">
        <v>270</v>
      </c>
    </row>
    <row r="276" spans="25:25" x14ac:dyDescent="0.2">
      <c r="Y276" s="36">
        <v>271</v>
      </c>
    </row>
    <row r="277" spans="25:25" x14ac:dyDescent="0.2">
      <c r="Y277" s="36">
        <v>272</v>
      </c>
    </row>
    <row r="278" spans="25:25" x14ac:dyDescent="0.2">
      <c r="Y278" s="36">
        <v>273</v>
      </c>
    </row>
    <row r="279" spans="25:25" x14ac:dyDescent="0.2">
      <c r="Y279" s="36">
        <v>274</v>
      </c>
    </row>
    <row r="280" spans="25:25" x14ac:dyDescent="0.2">
      <c r="Y280" s="36">
        <v>275</v>
      </c>
    </row>
    <row r="281" spans="25:25" x14ac:dyDescent="0.2">
      <c r="Y281" s="36">
        <v>276</v>
      </c>
    </row>
    <row r="282" spans="25:25" x14ac:dyDescent="0.2">
      <c r="Y282" s="36">
        <v>277</v>
      </c>
    </row>
    <row r="283" spans="25:25" x14ac:dyDescent="0.2">
      <c r="Y283" s="36">
        <v>278</v>
      </c>
    </row>
    <row r="284" spans="25:25" x14ac:dyDescent="0.2">
      <c r="Y284" s="36">
        <v>279</v>
      </c>
    </row>
    <row r="285" spans="25:25" x14ac:dyDescent="0.2">
      <c r="Y285" s="36">
        <v>280</v>
      </c>
    </row>
    <row r="286" spans="25:25" x14ac:dyDescent="0.2">
      <c r="Y286" s="36">
        <v>281</v>
      </c>
    </row>
    <row r="287" spans="25:25" x14ac:dyDescent="0.2">
      <c r="Y287" s="36">
        <v>282</v>
      </c>
    </row>
    <row r="288" spans="25:25" x14ac:dyDescent="0.2">
      <c r="Y288" s="36">
        <v>283</v>
      </c>
    </row>
    <row r="289" spans="25:25" x14ac:dyDescent="0.2">
      <c r="Y289" s="36">
        <v>284</v>
      </c>
    </row>
    <row r="290" spans="25:25" x14ac:dyDescent="0.2">
      <c r="Y290" s="36">
        <v>285</v>
      </c>
    </row>
    <row r="291" spans="25:25" x14ac:dyDescent="0.2">
      <c r="Y291" s="36">
        <v>286</v>
      </c>
    </row>
    <row r="292" spans="25:25" x14ac:dyDescent="0.2">
      <c r="Y292" s="36">
        <v>287</v>
      </c>
    </row>
    <row r="293" spans="25:25" x14ac:dyDescent="0.2">
      <c r="Y293" s="36">
        <v>288</v>
      </c>
    </row>
    <row r="294" spans="25:25" x14ac:dyDescent="0.2">
      <c r="Y294" s="36">
        <v>289</v>
      </c>
    </row>
    <row r="295" spans="25:25" x14ac:dyDescent="0.2">
      <c r="Y295" s="36">
        <v>290</v>
      </c>
    </row>
    <row r="296" spans="25:25" x14ac:dyDescent="0.2">
      <c r="Y296" s="36">
        <v>291</v>
      </c>
    </row>
    <row r="297" spans="25:25" x14ac:dyDescent="0.2">
      <c r="Y297" s="36">
        <v>292</v>
      </c>
    </row>
    <row r="298" spans="25:25" x14ac:dyDescent="0.2">
      <c r="Y298" s="36">
        <v>293</v>
      </c>
    </row>
    <row r="299" spans="25:25" x14ac:dyDescent="0.2">
      <c r="Y299" s="36">
        <v>294</v>
      </c>
    </row>
    <row r="300" spans="25:25" x14ac:dyDescent="0.2">
      <c r="Y300" s="36">
        <v>295</v>
      </c>
    </row>
    <row r="301" spans="25:25" x14ac:dyDescent="0.2">
      <c r="Y301" s="36">
        <v>296</v>
      </c>
    </row>
    <row r="302" spans="25:25" x14ac:dyDescent="0.2">
      <c r="Y302" s="36">
        <v>297</v>
      </c>
    </row>
    <row r="303" spans="25:25" x14ac:dyDescent="0.2">
      <c r="Y303" s="36">
        <v>298</v>
      </c>
    </row>
    <row r="304" spans="25:25" x14ac:dyDescent="0.2">
      <c r="Y304" s="36">
        <v>299</v>
      </c>
    </row>
    <row r="305" spans="25:25" x14ac:dyDescent="0.2">
      <c r="Y305" s="36">
        <v>300</v>
      </c>
    </row>
    <row r="306" spans="25:25" x14ac:dyDescent="0.2">
      <c r="Y306" s="36">
        <v>301</v>
      </c>
    </row>
    <row r="307" spans="25:25" x14ac:dyDescent="0.2">
      <c r="Y307" s="36">
        <v>302</v>
      </c>
    </row>
    <row r="308" spans="25:25" x14ac:dyDescent="0.2">
      <c r="Y308" s="36">
        <v>303</v>
      </c>
    </row>
    <row r="309" spans="25:25" x14ac:dyDescent="0.2">
      <c r="Y309" s="36">
        <v>304</v>
      </c>
    </row>
    <row r="310" spans="25:25" x14ac:dyDescent="0.2">
      <c r="Y310" s="36">
        <v>305</v>
      </c>
    </row>
    <row r="311" spans="25:25" x14ac:dyDescent="0.2">
      <c r="Y311" s="36">
        <v>306</v>
      </c>
    </row>
    <row r="312" spans="25:25" x14ac:dyDescent="0.2">
      <c r="Y312" s="36">
        <v>307</v>
      </c>
    </row>
    <row r="313" spans="25:25" x14ac:dyDescent="0.2">
      <c r="Y313" s="36">
        <v>308</v>
      </c>
    </row>
    <row r="314" spans="25:25" x14ac:dyDescent="0.2">
      <c r="Y314" s="36">
        <v>309</v>
      </c>
    </row>
    <row r="315" spans="25:25" x14ac:dyDescent="0.2">
      <c r="Y315" s="36">
        <v>310</v>
      </c>
    </row>
    <row r="316" spans="25:25" x14ac:dyDescent="0.2">
      <c r="Y316" s="36">
        <v>311</v>
      </c>
    </row>
    <row r="317" spans="25:25" x14ac:dyDescent="0.2">
      <c r="Y317" s="36">
        <v>312</v>
      </c>
    </row>
    <row r="318" spans="25:25" x14ac:dyDescent="0.2">
      <c r="Y318" s="36">
        <v>313</v>
      </c>
    </row>
    <row r="319" spans="25:25" x14ac:dyDescent="0.2">
      <c r="Y319" s="36">
        <v>314</v>
      </c>
    </row>
    <row r="320" spans="25:25" x14ac:dyDescent="0.2">
      <c r="Y320" s="36">
        <v>315</v>
      </c>
    </row>
    <row r="321" spans="25:25" x14ac:dyDescent="0.2">
      <c r="Y321" s="36">
        <v>316</v>
      </c>
    </row>
    <row r="322" spans="25:25" x14ac:dyDescent="0.2">
      <c r="Y322" s="36">
        <v>317</v>
      </c>
    </row>
    <row r="323" spans="25:25" x14ac:dyDescent="0.2">
      <c r="Y323" s="36">
        <v>318</v>
      </c>
    </row>
    <row r="324" spans="25:25" x14ac:dyDescent="0.2">
      <c r="Y324" s="36">
        <v>319</v>
      </c>
    </row>
    <row r="325" spans="25:25" x14ac:dyDescent="0.2">
      <c r="Y325" s="36">
        <v>320</v>
      </c>
    </row>
    <row r="326" spans="25:25" x14ac:dyDescent="0.2">
      <c r="Y326" s="36">
        <v>321</v>
      </c>
    </row>
    <row r="327" spans="25:25" x14ac:dyDescent="0.2">
      <c r="Y327" s="36">
        <v>322</v>
      </c>
    </row>
    <row r="328" spans="25:25" x14ac:dyDescent="0.2">
      <c r="Y328" s="36">
        <v>323</v>
      </c>
    </row>
    <row r="329" spans="25:25" x14ac:dyDescent="0.2">
      <c r="Y329" s="36">
        <v>324</v>
      </c>
    </row>
    <row r="330" spans="25:25" x14ac:dyDescent="0.2">
      <c r="Y330" s="36">
        <v>325</v>
      </c>
    </row>
    <row r="331" spans="25:25" x14ac:dyDescent="0.2">
      <c r="Y331" s="36">
        <v>326</v>
      </c>
    </row>
    <row r="332" spans="25:25" x14ac:dyDescent="0.2">
      <c r="Y332" s="36">
        <v>327</v>
      </c>
    </row>
    <row r="333" spans="25:25" x14ac:dyDescent="0.2">
      <c r="Y333" s="36">
        <v>328</v>
      </c>
    </row>
    <row r="334" spans="25:25" x14ac:dyDescent="0.2">
      <c r="Y334" s="36">
        <v>329</v>
      </c>
    </row>
    <row r="335" spans="25:25" x14ac:dyDescent="0.2">
      <c r="Y335" s="36">
        <v>330</v>
      </c>
    </row>
    <row r="336" spans="25:25" x14ac:dyDescent="0.2">
      <c r="Y336" s="36">
        <v>331</v>
      </c>
    </row>
    <row r="337" spans="25:25" x14ac:dyDescent="0.2">
      <c r="Y337" s="36">
        <v>332</v>
      </c>
    </row>
    <row r="338" spans="25:25" x14ac:dyDescent="0.2">
      <c r="Y338" s="36">
        <v>333</v>
      </c>
    </row>
    <row r="339" spans="25:25" x14ac:dyDescent="0.2">
      <c r="Y339" s="36">
        <v>334</v>
      </c>
    </row>
    <row r="340" spans="25:25" x14ac:dyDescent="0.2">
      <c r="Y340" s="36">
        <v>335</v>
      </c>
    </row>
    <row r="341" spans="25:25" x14ac:dyDescent="0.2">
      <c r="Y341" s="36">
        <v>336</v>
      </c>
    </row>
    <row r="342" spans="25:25" x14ac:dyDescent="0.2">
      <c r="Y342" s="36">
        <v>337</v>
      </c>
    </row>
    <row r="343" spans="25:25" x14ac:dyDescent="0.2">
      <c r="Y343" s="36">
        <v>338</v>
      </c>
    </row>
    <row r="344" spans="25:25" x14ac:dyDescent="0.2">
      <c r="Y344" s="36">
        <v>339</v>
      </c>
    </row>
    <row r="345" spans="25:25" x14ac:dyDescent="0.2">
      <c r="Y345" s="36">
        <v>340</v>
      </c>
    </row>
    <row r="346" spans="25:25" x14ac:dyDescent="0.2">
      <c r="Y346" s="36">
        <v>341</v>
      </c>
    </row>
    <row r="347" spans="25:25" x14ac:dyDescent="0.2">
      <c r="Y347" s="36">
        <v>342</v>
      </c>
    </row>
    <row r="348" spans="25:25" x14ac:dyDescent="0.2">
      <c r="Y348" s="36">
        <v>343</v>
      </c>
    </row>
    <row r="349" spans="25:25" x14ac:dyDescent="0.2">
      <c r="Y349" s="36">
        <v>344</v>
      </c>
    </row>
    <row r="350" spans="25:25" x14ac:dyDescent="0.2">
      <c r="Y350" s="36">
        <v>345</v>
      </c>
    </row>
    <row r="351" spans="25:25" x14ac:dyDescent="0.2">
      <c r="Y351" s="36">
        <v>346</v>
      </c>
    </row>
    <row r="352" spans="25:25" x14ac:dyDescent="0.2">
      <c r="Y352" s="36">
        <v>347</v>
      </c>
    </row>
    <row r="353" spans="25:25" x14ac:dyDescent="0.2">
      <c r="Y353" s="36">
        <v>348</v>
      </c>
    </row>
    <row r="354" spans="25:25" x14ac:dyDescent="0.2">
      <c r="Y354" s="36">
        <v>349</v>
      </c>
    </row>
    <row r="355" spans="25:25" x14ac:dyDescent="0.2">
      <c r="Y355" s="36">
        <v>350</v>
      </c>
    </row>
    <row r="356" spans="25:25" x14ac:dyDescent="0.2">
      <c r="Y356" s="36">
        <v>351</v>
      </c>
    </row>
    <row r="357" spans="25:25" x14ac:dyDescent="0.2">
      <c r="Y357" s="36">
        <v>352</v>
      </c>
    </row>
    <row r="358" spans="25:25" x14ac:dyDescent="0.2">
      <c r="Y358" s="36">
        <v>353</v>
      </c>
    </row>
    <row r="359" spans="25:25" x14ac:dyDescent="0.2">
      <c r="Y359" s="36">
        <v>354</v>
      </c>
    </row>
    <row r="360" spans="25:25" x14ac:dyDescent="0.2">
      <c r="Y360" s="36">
        <v>355</v>
      </c>
    </row>
    <row r="361" spans="25:25" x14ac:dyDescent="0.2">
      <c r="Y361" s="36">
        <v>356</v>
      </c>
    </row>
    <row r="362" spans="25:25" x14ac:dyDescent="0.2">
      <c r="Y362" s="36">
        <v>357</v>
      </c>
    </row>
    <row r="363" spans="25:25" x14ac:dyDescent="0.2">
      <c r="Y363" s="36">
        <v>358</v>
      </c>
    </row>
    <row r="364" spans="25:25" x14ac:dyDescent="0.2">
      <c r="Y364" s="36">
        <v>359</v>
      </c>
    </row>
    <row r="365" spans="25:25" x14ac:dyDescent="0.2">
      <c r="Y365" s="36">
        <v>360</v>
      </c>
    </row>
    <row r="366" spans="25:25" x14ac:dyDescent="0.2">
      <c r="Y366" s="36">
        <v>361</v>
      </c>
    </row>
    <row r="367" spans="25:25" x14ac:dyDescent="0.2">
      <c r="Y367" s="36">
        <v>362</v>
      </c>
    </row>
    <row r="368" spans="25:25" x14ac:dyDescent="0.2">
      <c r="Y368" s="36">
        <v>363</v>
      </c>
    </row>
    <row r="369" spans="25:25" x14ac:dyDescent="0.2">
      <c r="Y369" s="36">
        <v>364</v>
      </c>
    </row>
    <row r="370" spans="25:25" x14ac:dyDescent="0.2">
      <c r="Y370" s="36">
        <v>365</v>
      </c>
    </row>
    <row r="371" spans="25:25" x14ac:dyDescent="0.2">
      <c r="Y371" s="36">
        <v>366</v>
      </c>
    </row>
    <row r="372" spans="25:25" x14ac:dyDescent="0.2">
      <c r="Y372" s="36">
        <v>367</v>
      </c>
    </row>
    <row r="373" spans="25:25" x14ac:dyDescent="0.2">
      <c r="Y373" s="36">
        <v>368</v>
      </c>
    </row>
    <row r="374" spans="25:25" x14ac:dyDescent="0.2">
      <c r="Y374" s="36">
        <v>369</v>
      </c>
    </row>
    <row r="375" spans="25:25" x14ac:dyDescent="0.2">
      <c r="Y375" s="36">
        <v>370</v>
      </c>
    </row>
    <row r="376" spans="25:25" x14ac:dyDescent="0.2">
      <c r="Y376" s="36">
        <v>371</v>
      </c>
    </row>
    <row r="377" spans="25:25" x14ac:dyDescent="0.2">
      <c r="Y377" s="36">
        <v>372</v>
      </c>
    </row>
    <row r="378" spans="25:25" x14ac:dyDescent="0.2">
      <c r="Y378" s="36">
        <v>373</v>
      </c>
    </row>
    <row r="379" spans="25:25" x14ac:dyDescent="0.2">
      <c r="Y379" s="36">
        <v>374</v>
      </c>
    </row>
    <row r="380" spans="25:25" x14ac:dyDescent="0.2">
      <c r="Y380" s="36">
        <v>375</v>
      </c>
    </row>
    <row r="381" spans="25:25" x14ac:dyDescent="0.2">
      <c r="Y381" s="36">
        <v>376</v>
      </c>
    </row>
    <row r="382" spans="25:25" x14ac:dyDescent="0.2">
      <c r="Y382" s="36">
        <v>377</v>
      </c>
    </row>
    <row r="383" spans="25:25" x14ac:dyDescent="0.2">
      <c r="Y383" s="36">
        <v>378</v>
      </c>
    </row>
    <row r="384" spans="25:25" x14ac:dyDescent="0.2">
      <c r="Y384" s="36">
        <v>379</v>
      </c>
    </row>
    <row r="385" spans="25:25" x14ac:dyDescent="0.2">
      <c r="Y385" s="36">
        <v>380</v>
      </c>
    </row>
    <row r="386" spans="25:25" x14ac:dyDescent="0.2">
      <c r="Y386" s="36">
        <v>381</v>
      </c>
    </row>
    <row r="387" spans="25:25" x14ac:dyDescent="0.2">
      <c r="Y387" s="36">
        <v>382</v>
      </c>
    </row>
    <row r="388" spans="25:25" x14ac:dyDescent="0.2">
      <c r="Y388" s="36">
        <v>383</v>
      </c>
    </row>
    <row r="389" spans="25:25" x14ac:dyDescent="0.2">
      <c r="Y389" s="36">
        <v>384</v>
      </c>
    </row>
    <row r="390" spans="25:25" x14ac:dyDescent="0.2">
      <c r="Y390" s="36">
        <v>385</v>
      </c>
    </row>
    <row r="391" spans="25:25" x14ac:dyDescent="0.2">
      <c r="Y391" s="36">
        <v>386</v>
      </c>
    </row>
    <row r="392" spans="25:25" x14ac:dyDescent="0.2">
      <c r="Y392" s="36">
        <v>387</v>
      </c>
    </row>
    <row r="393" spans="25:25" x14ac:dyDescent="0.2">
      <c r="Y393" s="36">
        <v>388</v>
      </c>
    </row>
    <row r="394" spans="25:25" x14ac:dyDescent="0.2">
      <c r="Y394" s="36">
        <v>389</v>
      </c>
    </row>
    <row r="395" spans="25:25" x14ac:dyDescent="0.2">
      <c r="Y395" s="36">
        <v>390</v>
      </c>
    </row>
    <row r="396" spans="25:25" x14ac:dyDescent="0.2">
      <c r="Y396" s="36">
        <v>391</v>
      </c>
    </row>
    <row r="397" spans="25:25" x14ac:dyDescent="0.2">
      <c r="Y397" s="36">
        <v>392</v>
      </c>
    </row>
    <row r="398" spans="25:25" x14ac:dyDescent="0.2">
      <c r="Y398" s="36">
        <v>393</v>
      </c>
    </row>
    <row r="399" spans="25:25" x14ac:dyDescent="0.2">
      <c r="Y399" s="36">
        <v>394</v>
      </c>
    </row>
    <row r="400" spans="25:25" x14ac:dyDescent="0.2">
      <c r="Y400" s="36">
        <v>395</v>
      </c>
    </row>
    <row r="401" spans="25:25" x14ac:dyDescent="0.2">
      <c r="Y401" s="36">
        <v>396</v>
      </c>
    </row>
    <row r="402" spans="25:25" x14ac:dyDescent="0.2">
      <c r="Y402" s="36">
        <v>397</v>
      </c>
    </row>
    <row r="403" spans="25:25" x14ac:dyDescent="0.2">
      <c r="Y403" s="36">
        <v>398</v>
      </c>
    </row>
    <row r="404" spans="25:25" x14ac:dyDescent="0.2">
      <c r="Y404" s="36">
        <v>399</v>
      </c>
    </row>
    <row r="405" spans="25:25" x14ac:dyDescent="0.2">
      <c r="Y405" s="36">
        <v>400</v>
      </c>
    </row>
    <row r="406" spans="25:25" x14ac:dyDescent="0.2">
      <c r="Y406" s="36">
        <v>401</v>
      </c>
    </row>
    <row r="407" spans="25:25" x14ac:dyDescent="0.2">
      <c r="Y407" s="36">
        <v>402</v>
      </c>
    </row>
    <row r="408" spans="25:25" x14ac:dyDescent="0.2">
      <c r="Y408" s="36">
        <v>403</v>
      </c>
    </row>
    <row r="409" spans="25:25" x14ac:dyDescent="0.2">
      <c r="Y409" s="36">
        <v>404</v>
      </c>
    </row>
    <row r="410" spans="25:25" x14ac:dyDescent="0.2">
      <c r="Y410" s="36">
        <v>405</v>
      </c>
    </row>
    <row r="411" spans="25:25" x14ac:dyDescent="0.2">
      <c r="Y411" s="36">
        <v>406</v>
      </c>
    </row>
    <row r="412" spans="25:25" x14ac:dyDescent="0.2">
      <c r="Y412" s="36">
        <v>407</v>
      </c>
    </row>
    <row r="413" spans="25:25" x14ac:dyDescent="0.2">
      <c r="Y413" s="36">
        <v>408</v>
      </c>
    </row>
    <row r="414" spans="25:25" x14ac:dyDescent="0.2">
      <c r="Y414" s="36">
        <v>409</v>
      </c>
    </row>
    <row r="415" spans="25:25" x14ac:dyDescent="0.2">
      <c r="Y415" s="36">
        <v>410</v>
      </c>
    </row>
    <row r="416" spans="25:25" x14ac:dyDescent="0.2">
      <c r="Y416" s="36">
        <v>411</v>
      </c>
    </row>
    <row r="417" spans="25:25" x14ac:dyDescent="0.2">
      <c r="Y417" s="36">
        <v>412</v>
      </c>
    </row>
    <row r="418" spans="25:25" x14ac:dyDescent="0.2">
      <c r="Y418" s="36">
        <v>413</v>
      </c>
    </row>
    <row r="419" spans="25:25" x14ac:dyDescent="0.2">
      <c r="Y419" s="36">
        <v>414</v>
      </c>
    </row>
    <row r="420" spans="25:25" x14ac:dyDescent="0.2">
      <c r="Y420" s="36">
        <v>415</v>
      </c>
    </row>
    <row r="421" spans="25:25" x14ac:dyDescent="0.2">
      <c r="Y421" s="36">
        <v>416</v>
      </c>
    </row>
    <row r="422" spans="25:25" x14ac:dyDescent="0.2">
      <c r="Y422" s="36">
        <v>417</v>
      </c>
    </row>
    <row r="423" spans="25:25" x14ac:dyDescent="0.2">
      <c r="Y423" s="36">
        <v>418</v>
      </c>
    </row>
    <row r="424" spans="25:25" x14ac:dyDescent="0.2">
      <c r="Y424" s="36">
        <v>419</v>
      </c>
    </row>
    <row r="425" spans="25:25" x14ac:dyDescent="0.2">
      <c r="Y425" s="36">
        <v>420</v>
      </c>
    </row>
    <row r="426" spans="25:25" x14ac:dyDescent="0.2">
      <c r="Y426" s="36">
        <v>421</v>
      </c>
    </row>
    <row r="427" spans="25:25" x14ac:dyDescent="0.2">
      <c r="Y427" s="36">
        <v>422</v>
      </c>
    </row>
    <row r="428" spans="25:25" x14ac:dyDescent="0.2">
      <c r="Y428" s="36">
        <v>423</v>
      </c>
    </row>
    <row r="429" spans="25:25" x14ac:dyDescent="0.2">
      <c r="Y429" s="36">
        <v>424</v>
      </c>
    </row>
    <row r="430" spans="25:25" x14ac:dyDescent="0.2">
      <c r="Y430" s="36">
        <v>425</v>
      </c>
    </row>
    <row r="431" spans="25:25" x14ac:dyDescent="0.2">
      <c r="Y431" s="36">
        <v>426</v>
      </c>
    </row>
    <row r="432" spans="25:25" x14ac:dyDescent="0.2">
      <c r="Y432" s="36">
        <v>427</v>
      </c>
    </row>
    <row r="433" spans="25:25" x14ac:dyDescent="0.2">
      <c r="Y433" s="36">
        <v>428</v>
      </c>
    </row>
    <row r="434" spans="25:25" x14ac:dyDescent="0.2">
      <c r="Y434" s="36">
        <v>429</v>
      </c>
    </row>
    <row r="435" spans="25:25" x14ac:dyDescent="0.2">
      <c r="Y435" s="36">
        <v>430</v>
      </c>
    </row>
    <row r="436" spans="25:25" x14ac:dyDescent="0.2">
      <c r="Y436" s="36">
        <v>431</v>
      </c>
    </row>
    <row r="437" spans="25:25" x14ac:dyDescent="0.2">
      <c r="Y437" s="36">
        <v>432</v>
      </c>
    </row>
    <row r="438" spans="25:25" x14ac:dyDescent="0.2">
      <c r="Y438" s="36">
        <v>433</v>
      </c>
    </row>
    <row r="439" spans="25:25" x14ac:dyDescent="0.2">
      <c r="Y439" s="36">
        <v>434</v>
      </c>
    </row>
    <row r="440" spans="25:25" x14ac:dyDescent="0.2">
      <c r="Y440" s="36">
        <v>435</v>
      </c>
    </row>
    <row r="441" spans="25:25" x14ac:dyDescent="0.2">
      <c r="Y441" s="36">
        <v>436</v>
      </c>
    </row>
    <row r="442" spans="25:25" x14ac:dyDescent="0.2">
      <c r="Y442" s="36">
        <v>437</v>
      </c>
    </row>
    <row r="443" spans="25:25" x14ac:dyDescent="0.2">
      <c r="Y443" s="36">
        <v>438</v>
      </c>
    </row>
    <row r="444" spans="25:25" x14ac:dyDescent="0.2">
      <c r="Y444" s="36">
        <v>439</v>
      </c>
    </row>
    <row r="445" spans="25:25" x14ac:dyDescent="0.2">
      <c r="Y445" s="36">
        <v>440</v>
      </c>
    </row>
    <row r="446" spans="25:25" x14ac:dyDescent="0.2">
      <c r="Y446" s="36">
        <v>441</v>
      </c>
    </row>
    <row r="447" spans="25:25" x14ac:dyDescent="0.2">
      <c r="Y447" s="36">
        <v>442</v>
      </c>
    </row>
    <row r="448" spans="25:25" x14ac:dyDescent="0.2">
      <c r="Y448" s="36">
        <v>443</v>
      </c>
    </row>
    <row r="449" spans="25:25" x14ac:dyDescent="0.2">
      <c r="Y449" s="36">
        <v>444</v>
      </c>
    </row>
    <row r="450" spans="25:25" x14ac:dyDescent="0.2">
      <c r="Y450" s="36">
        <v>445</v>
      </c>
    </row>
    <row r="451" spans="25:25" x14ac:dyDescent="0.2">
      <c r="Y451" s="36">
        <v>446</v>
      </c>
    </row>
    <row r="452" spans="25:25" x14ac:dyDescent="0.2">
      <c r="Y452" s="36">
        <v>447</v>
      </c>
    </row>
    <row r="453" spans="25:25" x14ac:dyDescent="0.2">
      <c r="Y453" s="36">
        <v>448</v>
      </c>
    </row>
    <row r="454" spans="25:25" x14ac:dyDescent="0.2">
      <c r="Y454" s="36">
        <v>449</v>
      </c>
    </row>
    <row r="455" spans="25:25" x14ac:dyDescent="0.2">
      <c r="Y455" s="36">
        <v>450</v>
      </c>
    </row>
    <row r="456" spans="25:25" x14ac:dyDescent="0.2">
      <c r="Y456" s="36">
        <v>451</v>
      </c>
    </row>
    <row r="457" spans="25:25" x14ac:dyDescent="0.2">
      <c r="Y457" s="36">
        <v>452</v>
      </c>
    </row>
    <row r="458" spans="25:25" x14ac:dyDescent="0.2">
      <c r="Y458" s="36">
        <v>453</v>
      </c>
    </row>
    <row r="459" spans="25:25" x14ac:dyDescent="0.2">
      <c r="Y459" s="36">
        <v>454</v>
      </c>
    </row>
    <row r="460" spans="25:25" x14ac:dyDescent="0.2">
      <c r="Y460" s="36">
        <v>455</v>
      </c>
    </row>
    <row r="461" spans="25:25" x14ac:dyDescent="0.2">
      <c r="Y461" s="36">
        <v>456</v>
      </c>
    </row>
    <row r="462" spans="25:25" x14ac:dyDescent="0.2">
      <c r="Y462" s="36">
        <v>457</v>
      </c>
    </row>
    <row r="463" spans="25:25" x14ac:dyDescent="0.2">
      <c r="Y463" s="36">
        <v>458</v>
      </c>
    </row>
    <row r="464" spans="25:25" x14ac:dyDescent="0.2">
      <c r="Y464" s="36">
        <v>459</v>
      </c>
    </row>
    <row r="465" spans="25:25" x14ac:dyDescent="0.2">
      <c r="Y465" s="36">
        <v>460</v>
      </c>
    </row>
    <row r="466" spans="25:25" x14ac:dyDescent="0.2">
      <c r="Y466" s="36">
        <v>461</v>
      </c>
    </row>
    <row r="467" spans="25:25" x14ac:dyDescent="0.2">
      <c r="Y467" s="36">
        <v>462</v>
      </c>
    </row>
    <row r="468" spans="25:25" x14ac:dyDescent="0.2">
      <c r="Y468" s="36">
        <v>463</v>
      </c>
    </row>
    <row r="469" spans="25:25" x14ac:dyDescent="0.2">
      <c r="Y469" s="36">
        <v>464</v>
      </c>
    </row>
    <row r="470" spans="25:25" x14ac:dyDescent="0.2">
      <c r="Y470" s="36">
        <v>465</v>
      </c>
    </row>
    <row r="471" spans="25:25" x14ac:dyDescent="0.2">
      <c r="Y471" s="36">
        <v>466</v>
      </c>
    </row>
    <row r="472" spans="25:25" x14ac:dyDescent="0.2">
      <c r="Y472" s="36">
        <v>467</v>
      </c>
    </row>
    <row r="473" spans="25:25" x14ac:dyDescent="0.2">
      <c r="Y473" s="36">
        <v>468</v>
      </c>
    </row>
    <row r="474" spans="25:25" x14ac:dyDescent="0.2">
      <c r="Y474" s="36">
        <v>469</v>
      </c>
    </row>
    <row r="475" spans="25:25" x14ac:dyDescent="0.2">
      <c r="Y475" s="36">
        <v>470</v>
      </c>
    </row>
    <row r="476" spans="25:25" x14ac:dyDescent="0.2">
      <c r="Y476" s="36">
        <v>471</v>
      </c>
    </row>
    <row r="477" spans="25:25" x14ac:dyDescent="0.2">
      <c r="Y477" s="36">
        <v>472</v>
      </c>
    </row>
    <row r="478" spans="25:25" x14ac:dyDescent="0.2">
      <c r="Y478" s="36">
        <v>473</v>
      </c>
    </row>
    <row r="479" spans="25:25" x14ac:dyDescent="0.2">
      <c r="Y479" s="36">
        <v>474</v>
      </c>
    </row>
    <row r="480" spans="25:25" x14ac:dyDescent="0.2">
      <c r="Y480" s="36">
        <v>475</v>
      </c>
    </row>
    <row r="481" spans="25:25" x14ac:dyDescent="0.2">
      <c r="Y481" s="36">
        <v>476</v>
      </c>
    </row>
    <row r="482" spans="25:25" x14ac:dyDescent="0.2">
      <c r="Y482" s="36">
        <v>477</v>
      </c>
    </row>
    <row r="483" spans="25:25" x14ac:dyDescent="0.2">
      <c r="Y483" s="36">
        <v>478</v>
      </c>
    </row>
    <row r="484" spans="25:25" x14ac:dyDescent="0.2">
      <c r="Y484" s="36">
        <v>479</v>
      </c>
    </row>
    <row r="485" spans="25:25" x14ac:dyDescent="0.2">
      <c r="Y485" s="36">
        <v>480</v>
      </c>
    </row>
    <row r="486" spans="25:25" x14ac:dyDescent="0.2">
      <c r="Y486" s="36">
        <v>481</v>
      </c>
    </row>
    <row r="487" spans="25:25" x14ac:dyDescent="0.2">
      <c r="Y487" s="36">
        <v>482</v>
      </c>
    </row>
    <row r="488" spans="25:25" x14ac:dyDescent="0.2">
      <c r="Y488" s="36">
        <v>483</v>
      </c>
    </row>
    <row r="489" spans="25:25" x14ac:dyDescent="0.2">
      <c r="Y489" s="36">
        <v>484</v>
      </c>
    </row>
    <row r="490" spans="25:25" x14ac:dyDescent="0.2">
      <c r="Y490" s="36">
        <v>485</v>
      </c>
    </row>
    <row r="491" spans="25:25" x14ac:dyDescent="0.2">
      <c r="Y491" s="36">
        <v>486</v>
      </c>
    </row>
    <row r="492" spans="25:25" x14ac:dyDescent="0.2">
      <c r="Y492" s="36">
        <v>487</v>
      </c>
    </row>
    <row r="493" spans="25:25" x14ac:dyDescent="0.2">
      <c r="Y493" s="36">
        <v>488</v>
      </c>
    </row>
    <row r="494" spans="25:25" x14ac:dyDescent="0.2">
      <c r="Y494" s="36">
        <v>489</v>
      </c>
    </row>
    <row r="495" spans="25:25" x14ac:dyDescent="0.2">
      <c r="Y495" s="36">
        <v>490</v>
      </c>
    </row>
    <row r="496" spans="25:25" x14ac:dyDescent="0.2">
      <c r="Y496" s="36">
        <v>491</v>
      </c>
    </row>
    <row r="497" spans="25:25" x14ac:dyDescent="0.2">
      <c r="Y497" s="36">
        <v>492</v>
      </c>
    </row>
    <row r="498" spans="25:25" x14ac:dyDescent="0.2">
      <c r="Y498" s="36">
        <v>493</v>
      </c>
    </row>
    <row r="499" spans="25:25" x14ac:dyDescent="0.2">
      <c r="Y499" s="36">
        <v>494</v>
      </c>
    </row>
    <row r="500" spans="25:25" x14ac:dyDescent="0.2">
      <c r="Y500" s="36">
        <v>495</v>
      </c>
    </row>
    <row r="501" spans="25:25" x14ac:dyDescent="0.2">
      <c r="Y501" s="36">
        <v>496</v>
      </c>
    </row>
    <row r="502" spans="25:25" x14ac:dyDescent="0.2">
      <c r="Y502" s="36">
        <v>497</v>
      </c>
    </row>
    <row r="503" spans="25:25" x14ac:dyDescent="0.2">
      <c r="Y503" s="36">
        <v>498</v>
      </c>
    </row>
    <row r="504" spans="25:25" x14ac:dyDescent="0.2">
      <c r="Y504" s="36">
        <v>499</v>
      </c>
    </row>
    <row r="505" spans="25:25" x14ac:dyDescent="0.2">
      <c r="Y505" s="36">
        <v>500</v>
      </c>
    </row>
    <row r="506" spans="25:25" x14ac:dyDescent="0.2">
      <c r="Y506" s="36">
        <v>501</v>
      </c>
    </row>
    <row r="507" spans="25:25" x14ac:dyDescent="0.2">
      <c r="Y507" s="36">
        <v>502</v>
      </c>
    </row>
    <row r="508" spans="25:25" x14ac:dyDescent="0.2">
      <c r="Y508" s="36">
        <v>503</v>
      </c>
    </row>
    <row r="509" spans="25:25" x14ac:dyDescent="0.2">
      <c r="Y509" s="36">
        <v>504</v>
      </c>
    </row>
    <row r="510" spans="25:25" x14ac:dyDescent="0.2">
      <c r="Y510" s="36">
        <v>505</v>
      </c>
    </row>
    <row r="511" spans="25:25" x14ac:dyDescent="0.2">
      <c r="Y511" s="36">
        <v>506</v>
      </c>
    </row>
    <row r="512" spans="25:25" x14ac:dyDescent="0.2">
      <c r="Y512" s="36">
        <v>507</v>
      </c>
    </row>
    <row r="513" spans="25:25" x14ac:dyDescent="0.2">
      <c r="Y513" s="36">
        <v>508</v>
      </c>
    </row>
    <row r="514" spans="25:25" x14ac:dyDescent="0.2">
      <c r="Y514" s="36">
        <v>509</v>
      </c>
    </row>
    <row r="515" spans="25:25" x14ac:dyDescent="0.2">
      <c r="Y515" s="36">
        <v>510</v>
      </c>
    </row>
    <row r="516" spans="25:25" x14ac:dyDescent="0.2">
      <c r="Y516" s="36">
        <v>511</v>
      </c>
    </row>
    <row r="517" spans="25:25" x14ac:dyDescent="0.2">
      <c r="Y517" s="36">
        <v>512</v>
      </c>
    </row>
    <row r="518" spans="25:25" x14ac:dyDescent="0.2">
      <c r="Y518" s="36">
        <v>513</v>
      </c>
    </row>
    <row r="519" spans="25:25" x14ac:dyDescent="0.2">
      <c r="Y519" s="36">
        <v>514</v>
      </c>
    </row>
    <row r="520" spans="25:25" x14ac:dyDescent="0.2">
      <c r="Y520" s="36">
        <v>515</v>
      </c>
    </row>
    <row r="521" spans="25:25" x14ac:dyDescent="0.2">
      <c r="Y521" s="36">
        <v>516</v>
      </c>
    </row>
    <row r="522" spans="25:25" x14ac:dyDescent="0.2">
      <c r="Y522" s="36">
        <v>517</v>
      </c>
    </row>
    <row r="523" spans="25:25" x14ac:dyDescent="0.2">
      <c r="Y523" s="36">
        <v>518</v>
      </c>
    </row>
    <row r="524" spans="25:25" x14ac:dyDescent="0.2">
      <c r="Y524" s="36">
        <v>519</v>
      </c>
    </row>
    <row r="525" spans="25:25" x14ac:dyDescent="0.2">
      <c r="Y525" s="36">
        <v>520</v>
      </c>
    </row>
    <row r="526" spans="25:25" x14ac:dyDescent="0.2">
      <c r="Y526" s="36">
        <v>521</v>
      </c>
    </row>
    <row r="527" spans="25:25" x14ac:dyDescent="0.2">
      <c r="Y527" s="36">
        <v>522</v>
      </c>
    </row>
    <row r="528" spans="25:25" x14ac:dyDescent="0.2">
      <c r="Y528" s="36">
        <v>523</v>
      </c>
    </row>
    <row r="529" spans="25:25" x14ac:dyDescent="0.2">
      <c r="Y529" s="36">
        <v>524</v>
      </c>
    </row>
    <row r="530" spans="25:25" x14ac:dyDescent="0.2">
      <c r="Y530" s="36">
        <v>525</v>
      </c>
    </row>
    <row r="531" spans="25:25" x14ac:dyDescent="0.2">
      <c r="Y531" s="36">
        <v>526</v>
      </c>
    </row>
    <row r="532" spans="25:25" x14ac:dyDescent="0.2">
      <c r="Y532" s="36">
        <v>527</v>
      </c>
    </row>
    <row r="533" spans="25:25" x14ac:dyDescent="0.2">
      <c r="Y533" s="36">
        <v>528</v>
      </c>
    </row>
    <row r="534" spans="25:25" x14ac:dyDescent="0.2">
      <c r="Y534" s="36">
        <v>529</v>
      </c>
    </row>
    <row r="535" spans="25:25" x14ac:dyDescent="0.2">
      <c r="Y535" s="36">
        <v>530</v>
      </c>
    </row>
    <row r="536" spans="25:25" x14ac:dyDescent="0.2">
      <c r="Y536" s="36">
        <v>531</v>
      </c>
    </row>
    <row r="537" spans="25:25" x14ac:dyDescent="0.2">
      <c r="Y537" s="36">
        <v>532</v>
      </c>
    </row>
    <row r="538" spans="25:25" x14ac:dyDescent="0.2">
      <c r="Y538" s="36">
        <v>533</v>
      </c>
    </row>
    <row r="539" spans="25:25" x14ac:dyDescent="0.2">
      <c r="Y539" s="36">
        <v>534</v>
      </c>
    </row>
    <row r="540" spans="25:25" x14ac:dyDescent="0.2">
      <c r="Y540" s="36">
        <v>535</v>
      </c>
    </row>
    <row r="541" spans="25:25" x14ac:dyDescent="0.2">
      <c r="Y541" s="36">
        <v>536</v>
      </c>
    </row>
    <row r="542" spans="25:25" x14ac:dyDescent="0.2">
      <c r="Y542" s="36">
        <v>537</v>
      </c>
    </row>
    <row r="543" spans="25:25" x14ac:dyDescent="0.2">
      <c r="Y543" s="36">
        <v>538</v>
      </c>
    </row>
    <row r="544" spans="25:25" x14ac:dyDescent="0.2">
      <c r="Y544" s="36">
        <v>539</v>
      </c>
    </row>
    <row r="545" spans="25:25" x14ac:dyDescent="0.2">
      <c r="Y545" s="36">
        <v>540</v>
      </c>
    </row>
    <row r="546" spans="25:25" x14ac:dyDescent="0.2">
      <c r="Y546" s="36">
        <v>541</v>
      </c>
    </row>
    <row r="547" spans="25:25" x14ac:dyDescent="0.2">
      <c r="Y547" s="36">
        <v>542</v>
      </c>
    </row>
    <row r="548" spans="25:25" x14ac:dyDescent="0.2">
      <c r="Y548" s="36">
        <v>543</v>
      </c>
    </row>
    <row r="549" spans="25:25" x14ac:dyDescent="0.2">
      <c r="Y549" s="36">
        <v>544</v>
      </c>
    </row>
    <row r="550" spans="25:25" x14ac:dyDescent="0.2">
      <c r="Y550" s="36">
        <v>545</v>
      </c>
    </row>
    <row r="551" spans="25:25" x14ac:dyDescent="0.2">
      <c r="Y551" s="36">
        <v>546</v>
      </c>
    </row>
    <row r="552" spans="25:25" x14ac:dyDescent="0.2">
      <c r="Y552" s="36">
        <v>547</v>
      </c>
    </row>
    <row r="553" spans="25:25" x14ac:dyDescent="0.2">
      <c r="Y553" s="36">
        <v>548</v>
      </c>
    </row>
    <row r="554" spans="25:25" x14ac:dyDescent="0.2">
      <c r="Y554" s="36">
        <v>549</v>
      </c>
    </row>
    <row r="555" spans="25:25" x14ac:dyDescent="0.2">
      <c r="Y555" s="36">
        <v>550</v>
      </c>
    </row>
    <row r="556" spans="25:25" x14ac:dyDescent="0.2">
      <c r="Y556" s="36">
        <v>551</v>
      </c>
    </row>
    <row r="557" spans="25:25" x14ac:dyDescent="0.2">
      <c r="Y557" s="36">
        <v>552</v>
      </c>
    </row>
    <row r="558" spans="25:25" x14ac:dyDescent="0.2">
      <c r="Y558" s="36">
        <v>553</v>
      </c>
    </row>
    <row r="559" spans="25:25" x14ac:dyDescent="0.2">
      <c r="Y559" s="36">
        <v>554</v>
      </c>
    </row>
    <row r="560" spans="25:25" x14ac:dyDescent="0.2">
      <c r="Y560" s="36">
        <v>555</v>
      </c>
    </row>
    <row r="561" spans="25:25" x14ac:dyDescent="0.2">
      <c r="Y561" s="36">
        <v>556</v>
      </c>
    </row>
    <row r="562" spans="25:25" x14ac:dyDescent="0.2">
      <c r="Y562" s="36">
        <v>557</v>
      </c>
    </row>
    <row r="563" spans="25:25" x14ac:dyDescent="0.2">
      <c r="Y563" s="36">
        <v>558</v>
      </c>
    </row>
    <row r="564" spans="25:25" x14ac:dyDescent="0.2">
      <c r="Y564" s="36">
        <v>559</v>
      </c>
    </row>
    <row r="565" spans="25:25" x14ac:dyDescent="0.2">
      <c r="Y565" s="36">
        <v>560</v>
      </c>
    </row>
    <row r="566" spans="25:25" x14ac:dyDescent="0.2">
      <c r="Y566" s="36">
        <v>561</v>
      </c>
    </row>
    <row r="567" spans="25:25" x14ac:dyDescent="0.2">
      <c r="Y567" s="36">
        <v>562</v>
      </c>
    </row>
    <row r="568" spans="25:25" x14ac:dyDescent="0.2">
      <c r="Y568" s="36">
        <v>563</v>
      </c>
    </row>
    <row r="569" spans="25:25" x14ac:dyDescent="0.2">
      <c r="Y569" s="36">
        <v>564</v>
      </c>
    </row>
    <row r="570" spans="25:25" x14ac:dyDescent="0.2">
      <c r="Y570" s="36">
        <v>565</v>
      </c>
    </row>
    <row r="571" spans="25:25" x14ac:dyDescent="0.2">
      <c r="Y571" s="36">
        <v>566</v>
      </c>
    </row>
    <row r="572" spans="25:25" x14ac:dyDescent="0.2">
      <c r="Y572" s="36">
        <v>567</v>
      </c>
    </row>
    <row r="573" spans="25:25" x14ac:dyDescent="0.2">
      <c r="Y573" s="36">
        <v>568</v>
      </c>
    </row>
    <row r="574" spans="25:25" x14ac:dyDescent="0.2">
      <c r="Y574" s="36">
        <v>569</v>
      </c>
    </row>
    <row r="575" spans="25:25" x14ac:dyDescent="0.2">
      <c r="Y575" s="36">
        <v>570</v>
      </c>
    </row>
    <row r="576" spans="25:25" x14ac:dyDescent="0.2">
      <c r="Y576" s="36">
        <v>571</v>
      </c>
    </row>
    <row r="577" spans="25:25" x14ac:dyDescent="0.2">
      <c r="Y577" s="36">
        <v>572</v>
      </c>
    </row>
    <row r="578" spans="25:25" x14ac:dyDescent="0.2">
      <c r="Y578" s="36">
        <v>573</v>
      </c>
    </row>
    <row r="579" spans="25:25" x14ac:dyDescent="0.2">
      <c r="Y579" s="36">
        <v>574</v>
      </c>
    </row>
    <row r="580" spans="25:25" x14ac:dyDescent="0.2">
      <c r="Y580" s="36">
        <v>575</v>
      </c>
    </row>
    <row r="581" spans="25:25" x14ac:dyDescent="0.2">
      <c r="Y581" s="36">
        <v>576</v>
      </c>
    </row>
    <row r="582" spans="25:25" x14ac:dyDescent="0.2">
      <c r="Y582" s="36">
        <v>577</v>
      </c>
    </row>
    <row r="583" spans="25:25" x14ac:dyDescent="0.2">
      <c r="Y583" s="36">
        <v>578</v>
      </c>
    </row>
    <row r="584" spans="25:25" x14ac:dyDescent="0.2">
      <c r="Y584" s="36">
        <v>579</v>
      </c>
    </row>
    <row r="585" spans="25:25" x14ac:dyDescent="0.2">
      <c r="Y585" s="36">
        <v>580</v>
      </c>
    </row>
    <row r="586" spans="25:25" x14ac:dyDescent="0.2">
      <c r="Y586" s="36">
        <v>581</v>
      </c>
    </row>
    <row r="587" spans="25:25" x14ac:dyDescent="0.2">
      <c r="Y587" s="36">
        <v>582</v>
      </c>
    </row>
    <row r="588" spans="25:25" x14ac:dyDescent="0.2">
      <c r="Y588" s="36">
        <v>583</v>
      </c>
    </row>
    <row r="589" spans="25:25" x14ac:dyDescent="0.2">
      <c r="Y589" s="36">
        <v>584</v>
      </c>
    </row>
  </sheetData>
  <mergeCells count="14">
    <mergeCell ref="D26:E26"/>
    <mergeCell ref="C23:D23"/>
    <mergeCell ref="C20:D20"/>
    <mergeCell ref="C17:D17"/>
    <mergeCell ref="C21:D21"/>
    <mergeCell ref="C18:D18"/>
    <mergeCell ref="C15:D15"/>
    <mergeCell ref="C16:D16"/>
    <mergeCell ref="C19:D19"/>
    <mergeCell ref="C22:D22"/>
    <mergeCell ref="A2:E2"/>
    <mergeCell ref="D6:E6"/>
    <mergeCell ref="C13:D13"/>
    <mergeCell ref="C14:D14"/>
  </mergeCells>
  <conditionalFormatting sqref="B11">
    <cfRule type="containsBlanks" dxfId="17" priority="24" stopIfTrue="1">
      <formula>LEN(TRIM(B11))=0</formula>
    </cfRule>
    <cfRule type="cellIs" dxfId="16" priority="27" stopIfTrue="1" operator="greaterThan">
      <formula>365</formula>
    </cfRule>
    <cfRule type="cellIs" dxfId="15" priority="28" stopIfTrue="1" operator="lessThan">
      <formula>29</formula>
    </cfRule>
  </conditionalFormatting>
  <conditionalFormatting sqref="B24">
    <cfRule type="cellIs" dxfId="14" priority="26" stopIfTrue="1" operator="equal">
      <formula>0</formula>
    </cfRule>
  </conditionalFormatting>
  <conditionalFormatting sqref="B6 B8">
    <cfRule type="expression" dxfId="13" priority="14" stopIfTrue="1">
      <formula>$I$5</formula>
    </cfRule>
    <cfRule type="containsText" dxfId="12" priority="17" stopIfTrue="1" operator="containsText" text="*-*">
      <formula>NOT(ISERROR(SEARCH("*-*",B6)))</formula>
    </cfRule>
    <cfRule type="containsText" dxfId="11" priority="22" stopIfTrue="1" operator="containsText" text="/">
      <formula>NOT(ISERROR(SEARCH("/",B6)))</formula>
    </cfRule>
    <cfRule type="expression" dxfId="10" priority="36" stopIfTrue="1">
      <formula>LEFT(B6,1)="0"</formula>
    </cfRule>
  </conditionalFormatting>
  <conditionalFormatting sqref="C24:F24 A19:F23">
    <cfRule type="expression" dxfId="9" priority="46" stopIfTrue="1">
      <formula>$C$7=1</formula>
    </cfRule>
  </conditionalFormatting>
  <dataValidations xWindow="819" yWindow="416" count="1">
    <dataValidation type="whole" errorStyle="information" allowBlank="1" showErrorMessage="1" errorTitle="VERIFICAR CANTIDAD" error="La cantidad mínima deber ser de VN 1000 y múltiplo de 1 VN" sqref="B14">
      <formula1>1000</formula1>
      <formula2>9999999999</formula2>
    </dataValidation>
  </dataValidations>
  <pageMargins left="0.74803149606299202" right="0.74803149606299202" top="1.1811023622047201" bottom="0.98425196850393704" header="0.51" footer="0"/>
  <pageSetup scale="63" orientation="portrait" r:id="rId1"/>
  <headerFooter alignWithMargins="0">
    <oddHeader>&amp;L&amp;G&amp;C&amp;T&amp;D</oddHead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N589"/>
  <sheetViews>
    <sheetView showGridLines="0" zoomScaleNormal="100" workbookViewId="0">
      <selection activeCell="B8" sqref="B8"/>
    </sheetView>
  </sheetViews>
  <sheetFormatPr baseColWidth="10" defaultRowHeight="12.75" x14ac:dyDescent="0.2"/>
  <cols>
    <col min="1" max="1" width="30.42578125" style="2" customWidth="1"/>
    <col min="2" max="2" width="20.7109375" style="2" customWidth="1"/>
    <col min="3" max="3" width="16.5703125" style="2" customWidth="1"/>
    <col min="4" max="4" width="13.7109375" style="2" customWidth="1"/>
    <col min="5" max="5" width="33.28515625" style="2" customWidth="1"/>
    <col min="6" max="6" width="28.140625" style="2" customWidth="1"/>
    <col min="7" max="7" width="13.140625" style="17" hidden="1" customWidth="1"/>
    <col min="8" max="8" width="11.42578125" style="25" hidden="1" customWidth="1"/>
    <col min="9" max="9" width="12.85546875" style="25" hidden="1" customWidth="1"/>
    <col min="10" max="10" width="11.42578125" style="25" hidden="1" customWidth="1"/>
    <col min="11" max="12" width="11.42578125" style="17" hidden="1" customWidth="1"/>
    <col min="13" max="13" width="11.42578125" style="36" customWidth="1"/>
    <col min="14" max="23" width="11.42578125" style="37" customWidth="1"/>
    <col min="24" max="26" width="11.42578125" style="37" hidden="1" customWidth="1"/>
    <col min="27" max="31" width="11.42578125" style="37" customWidth="1"/>
    <col min="32" max="16384" width="11.42578125" style="37"/>
  </cols>
  <sheetData>
    <row r="1" spans="1:40" ht="5.25" customHeight="1" thickBot="1" x14ac:dyDescent="0.25"/>
    <row r="2" spans="1:40" ht="27" customHeight="1" thickBot="1" x14ac:dyDescent="0.25">
      <c r="A2" s="48" t="s">
        <v>1697</v>
      </c>
      <c r="B2" s="49"/>
      <c r="C2" s="49"/>
      <c r="D2" s="49"/>
      <c r="E2" s="50"/>
      <c r="H2" s="17"/>
      <c r="I2" s="17"/>
      <c r="J2" s="17"/>
      <c r="K2" s="17" t="s">
        <v>1574</v>
      </c>
      <c r="L2" s="17" t="s">
        <v>1575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>
        <v>1</v>
      </c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ht="15" customHeight="1" x14ac:dyDescent="0.2">
      <c r="A3" s="3"/>
      <c r="B3" s="3"/>
      <c r="C3" s="3"/>
      <c r="D3" s="3"/>
      <c r="E3" s="4"/>
      <c r="F3" s="5"/>
      <c r="H3" s="17" t="s">
        <v>1695</v>
      </c>
      <c r="I3" s="17"/>
      <c r="J3" s="17"/>
      <c r="K3" s="26" t="s">
        <v>1573</v>
      </c>
      <c r="L3" s="27">
        <v>1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>
        <v>2</v>
      </c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 ht="18.75" customHeight="1" x14ac:dyDescent="0.25">
      <c r="A4" s="3"/>
      <c r="B4" s="3"/>
      <c r="C4" s="3"/>
      <c r="D4" s="6" t="s">
        <v>1</v>
      </c>
      <c r="E4" s="7"/>
      <c r="H4" s="17" t="s">
        <v>1698</v>
      </c>
      <c r="I4" s="17"/>
      <c r="J4" s="17"/>
      <c r="K4" s="26" t="s">
        <v>832</v>
      </c>
      <c r="L4" s="27">
        <v>2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>
        <v>3</v>
      </c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 ht="12.75" customHeight="1" x14ac:dyDescent="0.2">
      <c r="H5" s="17">
        <f>IFERROR(VLOOKUP(B6,K3:L214,2,FALSE),"")</f>
        <v>6</v>
      </c>
      <c r="I5" s="17"/>
      <c r="J5" s="17"/>
      <c r="K5" s="26" t="s">
        <v>1576</v>
      </c>
      <c r="L5" s="27">
        <v>4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>
        <v>4</v>
      </c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 ht="24" customHeight="1" x14ac:dyDescent="0.3">
      <c r="A6" s="35" t="s">
        <v>1649</v>
      </c>
      <c r="B6" s="21" t="s">
        <v>1570</v>
      </c>
      <c r="C6" s="34" t="s">
        <v>1653</v>
      </c>
      <c r="D6" s="51" t="str">
        <f>IFERROR(VLOOKUP(VLOOKUP($B$6,$K$2:$L$251,2,FALSE),'Listado Agentes'!$A$1:$S$251,2,FALSE),"")</f>
        <v>Allaria Ledesma &amp; Cía. S.A.</v>
      </c>
      <c r="E6" s="52"/>
      <c r="F6" s="9"/>
      <c r="H6" s="26"/>
      <c r="I6" s="17"/>
      <c r="J6" s="17"/>
      <c r="K6" s="26" t="s">
        <v>1577</v>
      </c>
      <c r="L6" s="27">
        <v>5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>
        <v>5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 ht="19.5" customHeight="1" x14ac:dyDescent="0.2">
      <c r="C7" s="36" t="e">
        <f>+IF(#REF!="Competitivo",1,0)</f>
        <v>#REF!</v>
      </c>
      <c r="H7" s="17"/>
      <c r="I7" s="17"/>
      <c r="J7" s="17"/>
      <c r="K7" s="26" t="s">
        <v>1570</v>
      </c>
      <c r="L7" s="27">
        <v>6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6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 ht="24" customHeight="1" x14ac:dyDescent="0.3">
      <c r="A8" s="45" t="s">
        <v>1699</v>
      </c>
      <c r="B8" s="21" t="s">
        <v>1698</v>
      </c>
      <c r="F8" s="17"/>
      <c r="H8" s="25">
        <v>91</v>
      </c>
      <c r="I8" s="17"/>
      <c r="K8" s="26" t="s">
        <v>1006</v>
      </c>
      <c r="L8" s="27">
        <v>7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>
        <v>7</v>
      </c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</row>
    <row r="9" spans="1:40" ht="9" customHeight="1" x14ac:dyDescent="0.3">
      <c r="A9" s="8"/>
      <c r="B9" s="9"/>
      <c r="D9" s="8"/>
      <c r="E9" s="9"/>
      <c r="F9" s="9"/>
      <c r="H9" s="17">
        <v>182</v>
      </c>
      <c r="I9" s="17"/>
      <c r="J9" s="17"/>
      <c r="K9" s="26" t="s">
        <v>1578</v>
      </c>
      <c r="L9" s="27">
        <v>8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v>8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 ht="9" customHeight="1" x14ac:dyDescent="0.2">
      <c r="H10" s="26"/>
      <c r="I10" s="17"/>
      <c r="J10" s="17"/>
      <c r="K10" s="26" t="s">
        <v>1579</v>
      </c>
      <c r="L10" s="27">
        <v>9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>
        <v>10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 ht="24" customHeight="1" x14ac:dyDescent="0.3">
      <c r="A11" s="8" t="s">
        <v>1648</v>
      </c>
      <c r="B11" s="22"/>
      <c r="C11" s="42" t="str">
        <f>IF(AND(B14&lt;&gt;"",E14="",B11=""),"RECUERDE INGRESAR PLAZO","")</f>
        <v/>
      </c>
      <c r="D11" s="43"/>
      <c r="E11" s="43"/>
      <c r="F11" s="43"/>
      <c r="H11" s="17"/>
      <c r="I11" s="17"/>
      <c r="J11" s="17"/>
      <c r="K11" s="26" t="s">
        <v>1580</v>
      </c>
      <c r="L11" s="27">
        <v>10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>
        <v>11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 ht="19.5" customHeight="1" thickBot="1" x14ac:dyDescent="0.25">
      <c r="C12" s="10"/>
      <c r="H12" s="17"/>
      <c r="I12" s="17"/>
      <c r="J12" s="17"/>
      <c r="K12" s="26" t="s">
        <v>1581</v>
      </c>
      <c r="L12" s="27">
        <v>12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>
        <v>12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 ht="26.25" customHeight="1" thickBot="1" x14ac:dyDescent="0.3">
      <c r="A13" s="11" t="s">
        <v>1647</v>
      </c>
      <c r="B13" s="11" t="s">
        <v>0</v>
      </c>
      <c r="C13" s="53" t="s">
        <v>1654</v>
      </c>
      <c r="D13" s="54"/>
      <c r="E13" s="12" t="s">
        <v>1651</v>
      </c>
      <c r="F13" s="40"/>
      <c r="G13" s="17" t="s">
        <v>1652</v>
      </c>
      <c r="H13" s="17" t="s">
        <v>1696</v>
      </c>
      <c r="I13" s="17"/>
      <c r="J13" s="17"/>
      <c r="K13" s="26" t="s">
        <v>1582</v>
      </c>
      <c r="L13" s="27">
        <v>13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>
        <v>13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 ht="20.100000000000001" customHeight="1" x14ac:dyDescent="0.25">
      <c r="A14" s="13">
        <v>1</v>
      </c>
      <c r="B14" s="23"/>
      <c r="C14" s="55"/>
      <c r="D14" s="56"/>
      <c r="E14" s="18" t="str">
        <f>IF(B14="","", IF($B$8="","COMPLETE MONEDA",""))</f>
        <v/>
      </c>
      <c r="F14" s="41"/>
      <c r="G14" s="28">
        <v>1000</v>
      </c>
      <c r="H14" s="28">
        <v>1</v>
      </c>
      <c r="I14" s="17"/>
      <c r="J14" s="17"/>
      <c r="K14" s="26" t="s">
        <v>1585</v>
      </c>
      <c r="L14" s="27">
        <v>15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>
        <v>14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 ht="20.100000000000001" customHeight="1" x14ac:dyDescent="0.25">
      <c r="A15" s="14">
        <v>2</v>
      </c>
      <c r="B15" s="24"/>
      <c r="C15" s="46"/>
      <c r="D15" s="47"/>
      <c r="E15" s="20" t="str">
        <f t="shared" ref="E15:E22" si="0">IF(B15="","", IF($B$8="","COMPLETE MONEDA",""))</f>
        <v/>
      </c>
      <c r="F15" s="41"/>
      <c r="G15" s="28">
        <v>1000</v>
      </c>
      <c r="H15" s="28">
        <v>1</v>
      </c>
      <c r="I15" s="17"/>
      <c r="J15" s="17"/>
      <c r="K15" s="26" t="s">
        <v>1583</v>
      </c>
      <c r="L15" s="27">
        <v>16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>
        <v>15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 ht="20.100000000000001" customHeight="1" x14ac:dyDescent="0.25">
      <c r="A16" s="14">
        <v>3</v>
      </c>
      <c r="B16" s="24"/>
      <c r="C16" s="46"/>
      <c r="D16" s="47"/>
      <c r="E16" s="20" t="str">
        <f t="shared" si="0"/>
        <v/>
      </c>
      <c r="F16" s="41"/>
      <c r="G16" s="28">
        <v>1000</v>
      </c>
      <c r="H16" s="28">
        <v>1</v>
      </c>
      <c r="I16" s="17"/>
      <c r="J16" s="17"/>
      <c r="K16" s="26" t="s">
        <v>1584</v>
      </c>
      <c r="L16" s="27">
        <v>17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>
        <v>16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 ht="20.100000000000001" customHeight="1" x14ac:dyDescent="0.25">
      <c r="A17" s="14">
        <v>4</v>
      </c>
      <c r="B17" s="24"/>
      <c r="C17" s="46"/>
      <c r="D17" s="47"/>
      <c r="E17" s="20" t="str">
        <f t="shared" si="0"/>
        <v/>
      </c>
      <c r="F17" s="41"/>
      <c r="G17" s="28">
        <v>1000</v>
      </c>
      <c r="H17" s="28">
        <v>1</v>
      </c>
      <c r="I17" s="17"/>
      <c r="J17" s="17"/>
      <c r="K17" s="26" t="s">
        <v>1586</v>
      </c>
      <c r="L17" s="27">
        <v>18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>
        <v>17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 ht="20.100000000000001" customHeight="1" x14ac:dyDescent="0.25">
      <c r="A18" s="14">
        <v>5</v>
      </c>
      <c r="B18" s="24"/>
      <c r="C18" s="46"/>
      <c r="D18" s="47"/>
      <c r="E18" s="20" t="str">
        <f t="shared" si="0"/>
        <v/>
      </c>
      <c r="F18" s="41"/>
      <c r="G18" s="28">
        <v>1000</v>
      </c>
      <c r="H18" s="28">
        <v>1</v>
      </c>
      <c r="I18" s="17"/>
      <c r="J18" s="17"/>
      <c r="K18" s="26" t="s">
        <v>1587</v>
      </c>
      <c r="L18" s="27">
        <v>19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>
        <v>18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 ht="20.100000000000001" customHeight="1" x14ac:dyDescent="0.25">
      <c r="A19" s="14">
        <v>6</v>
      </c>
      <c r="B19" s="24"/>
      <c r="C19" s="46"/>
      <c r="D19" s="47"/>
      <c r="E19" s="20" t="str">
        <f t="shared" si="0"/>
        <v/>
      </c>
      <c r="F19" s="41"/>
      <c r="G19" s="28">
        <v>1000</v>
      </c>
      <c r="H19" s="28">
        <v>1</v>
      </c>
      <c r="I19" s="28"/>
      <c r="J19" s="17"/>
      <c r="K19" s="26" t="s">
        <v>1588</v>
      </c>
      <c r="L19" s="27">
        <v>20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>
        <v>19</v>
      </c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 ht="20.100000000000001" customHeight="1" x14ac:dyDescent="0.25">
      <c r="A20" s="14">
        <v>7</v>
      </c>
      <c r="B20" s="24"/>
      <c r="C20" s="46"/>
      <c r="D20" s="47"/>
      <c r="E20" s="20" t="str">
        <f t="shared" si="0"/>
        <v/>
      </c>
      <c r="F20" s="41"/>
      <c r="G20" s="28">
        <v>1000</v>
      </c>
      <c r="H20" s="28">
        <v>1</v>
      </c>
      <c r="I20" s="28"/>
      <c r="J20" s="17"/>
      <c r="K20" s="26" t="s">
        <v>327</v>
      </c>
      <c r="L20" s="27">
        <v>21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>
        <v>20</v>
      </c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 ht="20.100000000000001" customHeight="1" x14ac:dyDescent="0.25">
      <c r="A21" s="14">
        <v>8</v>
      </c>
      <c r="B21" s="24"/>
      <c r="C21" s="46"/>
      <c r="D21" s="47"/>
      <c r="E21" s="20" t="str">
        <f t="shared" si="0"/>
        <v/>
      </c>
      <c r="F21" s="41"/>
      <c r="G21" s="28">
        <v>1000</v>
      </c>
      <c r="H21" s="28">
        <v>1</v>
      </c>
      <c r="I21" s="17"/>
      <c r="J21" s="17"/>
      <c r="K21" s="26" t="s">
        <v>1589</v>
      </c>
      <c r="L21" s="27">
        <v>23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>
        <v>21</v>
      </c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 ht="20.100000000000001" customHeight="1" x14ac:dyDescent="0.25">
      <c r="A22" s="14">
        <v>9</v>
      </c>
      <c r="B22" s="24"/>
      <c r="C22" s="46"/>
      <c r="D22" s="47"/>
      <c r="E22" s="20" t="str">
        <f t="shared" si="0"/>
        <v/>
      </c>
      <c r="F22" s="41"/>
      <c r="G22" s="28">
        <v>1000</v>
      </c>
      <c r="H22" s="28">
        <v>1</v>
      </c>
      <c r="I22" s="17"/>
      <c r="J22" s="17"/>
      <c r="K22" s="26" t="s">
        <v>59</v>
      </c>
      <c r="L22" s="27">
        <v>24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>
        <v>22</v>
      </c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 ht="20.100000000000001" customHeight="1" x14ac:dyDescent="0.25">
      <c r="A23" s="14">
        <v>10</v>
      </c>
      <c r="B23" s="24"/>
      <c r="C23" s="46"/>
      <c r="D23" s="47"/>
      <c r="E23" s="20" t="str">
        <f>IF(B23="","", IF($B$8="","COMPLETE MONEDA",""))</f>
        <v/>
      </c>
      <c r="F23" s="41"/>
      <c r="G23" s="28">
        <v>1000</v>
      </c>
      <c r="H23" s="28">
        <v>1</v>
      </c>
      <c r="I23" s="17"/>
      <c r="J23" s="17"/>
      <c r="K23" s="26" t="s">
        <v>1165</v>
      </c>
      <c r="L23" s="27">
        <v>25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>
        <v>23</v>
      </c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 ht="20.100000000000001" customHeight="1" x14ac:dyDescent="0.25">
      <c r="A24" s="15" t="s">
        <v>1650</v>
      </c>
      <c r="B24" s="16">
        <f>+SUM(B14:B23)</f>
        <v>0</v>
      </c>
      <c r="H24" s="17"/>
      <c r="I24" s="17"/>
      <c r="J24" s="17"/>
      <c r="K24" s="26" t="s">
        <v>68</v>
      </c>
      <c r="L24" s="27">
        <v>26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>
        <v>24</v>
      </c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 x14ac:dyDescent="0.2">
      <c r="H25" s="17"/>
      <c r="I25" s="17"/>
      <c r="J25" s="17"/>
      <c r="K25" s="26" t="s">
        <v>1250</v>
      </c>
      <c r="L25" s="27">
        <v>27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>
        <v>25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 ht="18" x14ac:dyDescent="0.25">
      <c r="D26" s="57" t="s">
        <v>2</v>
      </c>
      <c r="E26" s="57"/>
      <c r="H26" s="17"/>
      <c r="I26" s="17"/>
      <c r="J26" s="17"/>
      <c r="K26" s="26" t="s">
        <v>290</v>
      </c>
      <c r="L26" s="27">
        <v>28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>
        <v>26</v>
      </c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 ht="2.25" customHeight="1" x14ac:dyDescent="0.2">
      <c r="H27" s="17"/>
      <c r="I27" s="17"/>
      <c r="J27" s="17"/>
      <c r="K27" s="26" t="s">
        <v>1417</v>
      </c>
      <c r="L27" s="27">
        <v>29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 ht="15.75" x14ac:dyDescent="0.25">
      <c r="A28" s="19" t="s">
        <v>1700</v>
      </c>
      <c r="H28" s="17"/>
      <c r="I28" s="17"/>
      <c r="J28" s="17"/>
      <c r="K28" s="26" t="s">
        <v>1054</v>
      </c>
      <c r="L28" s="27">
        <v>30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>
        <v>27</v>
      </c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 ht="14.25" x14ac:dyDescent="0.2">
      <c r="A29" s="33" t="s">
        <v>1712</v>
      </c>
      <c r="B29" s="33"/>
      <c r="C29" s="33"/>
      <c r="D29" s="33"/>
      <c r="E29" s="33"/>
      <c r="F29" s="33"/>
      <c r="H29" s="17"/>
      <c r="I29" s="17"/>
      <c r="J29" s="17"/>
      <c r="K29" s="26" t="s">
        <v>260</v>
      </c>
      <c r="L29" s="27">
        <v>31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>
        <v>28</v>
      </c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ht="14.25" customHeight="1" x14ac:dyDescent="0.2">
      <c r="A30" s="44"/>
      <c r="B30" s="44"/>
      <c r="C30" s="44"/>
      <c r="D30" s="44"/>
      <c r="E30" s="44"/>
      <c r="F30" s="44"/>
      <c r="H30" s="17"/>
      <c r="I30" s="17"/>
      <c r="J30" s="17"/>
      <c r="K30" s="26" t="s">
        <v>1396</v>
      </c>
      <c r="L30" s="27">
        <v>32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>
        <v>29</v>
      </c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 ht="14.25" x14ac:dyDescent="0.2">
      <c r="A31" s="39"/>
      <c r="B31" s="38"/>
      <c r="C31" s="38"/>
      <c r="D31" s="38"/>
      <c r="E31" s="38"/>
      <c r="F31" s="38"/>
      <c r="H31" s="17"/>
      <c r="I31" s="17"/>
      <c r="J31" s="17"/>
      <c r="K31" s="26" t="s">
        <v>1228</v>
      </c>
      <c r="L31" s="27">
        <v>33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>
        <v>30</v>
      </c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 x14ac:dyDescent="0.2">
      <c r="A32" s="10"/>
      <c r="B32" s="10"/>
      <c r="C32" s="10"/>
      <c r="D32" s="10"/>
      <c r="E32" s="10"/>
      <c r="F32" s="10"/>
      <c r="H32" s="17"/>
      <c r="I32" s="17"/>
      <c r="J32" s="17"/>
      <c r="K32" s="26" t="s">
        <v>174</v>
      </c>
      <c r="L32" s="27">
        <v>35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>
        <v>31</v>
      </c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2:40" ht="14.25" customHeight="1" x14ac:dyDescent="0.2">
      <c r="B33" s="10"/>
      <c r="C33" s="10"/>
      <c r="D33" s="10"/>
      <c r="E33" s="10"/>
      <c r="F33" s="10"/>
      <c r="H33" s="17"/>
      <c r="I33" s="17"/>
      <c r="J33" s="17"/>
      <c r="K33" s="26" t="s">
        <v>749</v>
      </c>
      <c r="L33" s="27">
        <v>36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>
        <v>32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2:40" x14ac:dyDescent="0.2">
      <c r="H34" s="17"/>
      <c r="I34" s="17"/>
      <c r="J34" s="17"/>
      <c r="K34" s="26" t="s">
        <v>400</v>
      </c>
      <c r="L34" s="27">
        <v>37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>
        <v>33</v>
      </c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2:40" x14ac:dyDescent="0.2">
      <c r="H35" s="17"/>
      <c r="I35" s="17"/>
      <c r="J35" s="17"/>
      <c r="K35" s="26" t="s">
        <v>1590</v>
      </c>
      <c r="L35" s="27">
        <v>38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>
        <v>34</v>
      </c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2:40" x14ac:dyDescent="0.2">
      <c r="H36" s="17"/>
      <c r="I36" s="17"/>
      <c r="J36" s="17"/>
      <c r="K36" s="26" t="s">
        <v>925</v>
      </c>
      <c r="L36" s="27">
        <v>40</v>
      </c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>
        <v>35</v>
      </c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2:40" x14ac:dyDescent="0.2">
      <c r="H37" s="17"/>
      <c r="I37" s="17"/>
      <c r="J37" s="17"/>
      <c r="K37" s="26" t="s">
        <v>314</v>
      </c>
      <c r="L37" s="27">
        <v>42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>
        <v>36</v>
      </c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2:40" x14ac:dyDescent="0.2">
      <c r="H38" s="17"/>
      <c r="I38" s="17"/>
      <c r="J38" s="17"/>
      <c r="K38" s="26" t="s">
        <v>383</v>
      </c>
      <c r="L38" s="27">
        <v>43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>
        <v>37</v>
      </c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2:40" x14ac:dyDescent="0.2">
      <c r="H39" s="17"/>
      <c r="I39" s="17"/>
      <c r="J39" s="17"/>
      <c r="K39" s="26" t="s">
        <v>546</v>
      </c>
      <c r="L39" s="27">
        <v>44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>
        <v>38</v>
      </c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spans="2:40" x14ac:dyDescent="0.2">
      <c r="H40" s="17"/>
      <c r="I40" s="17"/>
      <c r="J40" s="17"/>
      <c r="K40" s="26" t="s">
        <v>1591</v>
      </c>
      <c r="L40" s="27">
        <v>45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>
        <v>39</v>
      </c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spans="2:40" x14ac:dyDescent="0.2">
      <c r="H41" s="17"/>
      <c r="I41" s="17"/>
      <c r="J41" s="17"/>
      <c r="K41" s="26" t="s">
        <v>1592</v>
      </c>
      <c r="L41" s="27">
        <v>46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>
        <v>40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spans="2:40" x14ac:dyDescent="0.2">
      <c r="H42" s="17"/>
      <c r="I42" s="17"/>
      <c r="J42" s="17"/>
      <c r="K42" s="26" t="s">
        <v>1464</v>
      </c>
      <c r="L42" s="27">
        <v>47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>
        <v>41</v>
      </c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spans="2:40" x14ac:dyDescent="0.2">
      <c r="H43" s="17"/>
      <c r="I43" s="17"/>
      <c r="J43" s="17"/>
      <c r="K43" s="26" t="s">
        <v>1593</v>
      </c>
      <c r="L43" s="27">
        <v>48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>
        <v>42</v>
      </c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spans="2:40" x14ac:dyDescent="0.2">
      <c r="H44" s="17"/>
      <c r="I44" s="17"/>
      <c r="J44" s="17"/>
      <c r="K44" s="26" t="s">
        <v>134</v>
      </c>
      <c r="L44" s="27">
        <v>49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>
        <v>43</v>
      </c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spans="2:40" x14ac:dyDescent="0.2">
      <c r="H45" s="17"/>
      <c r="I45" s="17"/>
      <c r="J45" s="17"/>
      <c r="K45" s="26" t="s">
        <v>345</v>
      </c>
      <c r="L45" s="27">
        <v>50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>
        <v>44</v>
      </c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spans="2:40" x14ac:dyDescent="0.2">
      <c r="H46" s="17"/>
      <c r="I46" s="17"/>
      <c r="J46" s="17"/>
      <c r="K46" s="26" t="s">
        <v>1572</v>
      </c>
      <c r="L46" s="27">
        <v>51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>
        <v>45</v>
      </c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spans="2:40" x14ac:dyDescent="0.2">
      <c r="H47" s="17"/>
      <c r="I47" s="17"/>
      <c r="J47" s="17"/>
      <c r="K47" s="26" t="s">
        <v>881</v>
      </c>
      <c r="L47" s="27">
        <v>52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>
        <v>46</v>
      </c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spans="2:40" x14ac:dyDescent="0.2">
      <c r="H48" s="17"/>
      <c r="I48" s="17"/>
      <c r="J48" s="17"/>
      <c r="K48" s="26" t="s">
        <v>34</v>
      </c>
      <c r="L48" s="27">
        <v>53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>
        <v>47</v>
      </c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spans="8:40" x14ac:dyDescent="0.2">
      <c r="H49" s="17"/>
      <c r="I49" s="17"/>
      <c r="J49" s="17"/>
      <c r="K49" s="26" t="s">
        <v>535</v>
      </c>
      <c r="L49" s="27">
        <v>55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spans="8:40" x14ac:dyDescent="0.2">
      <c r="H50" s="17"/>
      <c r="I50" s="17"/>
      <c r="J50" s="17"/>
      <c r="K50" s="26" t="s">
        <v>519</v>
      </c>
      <c r="L50" s="27">
        <v>56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>
        <v>48</v>
      </c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spans="8:40" x14ac:dyDescent="0.2">
      <c r="H51" s="17"/>
      <c r="I51" s="17"/>
      <c r="J51" s="17"/>
      <c r="K51" s="26" t="s">
        <v>307</v>
      </c>
      <c r="L51" s="27">
        <v>57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>
        <v>49</v>
      </c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spans="8:40" x14ac:dyDescent="0.2">
      <c r="H52" s="17"/>
      <c r="I52" s="17"/>
      <c r="J52" s="17"/>
      <c r="K52" s="26" t="s">
        <v>251</v>
      </c>
      <c r="L52" s="27">
        <v>59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>
        <v>50</v>
      </c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spans="8:40" x14ac:dyDescent="0.2">
      <c r="H53" s="17"/>
      <c r="I53" s="17"/>
      <c r="J53" s="17"/>
      <c r="K53" s="26" t="s">
        <v>470</v>
      </c>
      <c r="L53" s="27">
        <v>60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>
        <v>51</v>
      </c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spans="8:40" x14ac:dyDescent="0.2">
      <c r="H54" s="17"/>
      <c r="I54" s="17"/>
      <c r="J54" s="17"/>
      <c r="K54" s="26" t="s">
        <v>1496</v>
      </c>
      <c r="L54" s="27">
        <v>61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>
        <v>52</v>
      </c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8:40" x14ac:dyDescent="0.2">
      <c r="H55" s="17"/>
      <c r="I55" s="17"/>
      <c r="J55" s="17"/>
      <c r="K55" s="26" t="s">
        <v>1594</v>
      </c>
      <c r="L55" s="27">
        <v>63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>
        <v>53</v>
      </c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8:40" x14ac:dyDescent="0.2">
      <c r="H56" s="17"/>
      <c r="I56" s="17"/>
      <c r="J56" s="17"/>
      <c r="K56" s="26" t="s">
        <v>1595</v>
      </c>
      <c r="L56" s="27">
        <v>64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>
        <v>54</v>
      </c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8:40" x14ac:dyDescent="0.2">
      <c r="H57" s="17"/>
      <c r="I57" s="17"/>
      <c r="J57" s="17"/>
      <c r="K57" s="26" t="s">
        <v>717</v>
      </c>
      <c r="L57" s="27">
        <v>65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>
        <v>55</v>
      </c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8:40" x14ac:dyDescent="0.2">
      <c r="H58" s="17"/>
      <c r="I58" s="17"/>
      <c r="J58" s="17"/>
      <c r="K58" s="26" t="s">
        <v>1596</v>
      </c>
      <c r="L58" s="27">
        <v>67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>
        <v>56</v>
      </c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8:40" x14ac:dyDescent="0.2">
      <c r="H59" s="17"/>
      <c r="I59" s="17"/>
      <c r="J59" s="17"/>
      <c r="K59" s="26" t="s">
        <v>1513</v>
      </c>
      <c r="L59" s="27">
        <v>68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>
        <v>57</v>
      </c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8:40" x14ac:dyDescent="0.2">
      <c r="H60" s="17"/>
      <c r="I60" s="17"/>
      <c r="J60" s="17"/>
      <c r="K60" s="26" t="s">
        <v>192</v>
      </c>
      <c r="L60" s="27">
        <v>69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>
        <v>58</v>
      </c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8:40" x14ac:dyDescent="0.2">
      <c r="H61" s="17"/>
      <c r="I61" s="17"/>
      <c r="J61" s="17"/>
      <c r="K61" s="26" t="s">
        <v>1155</v>
      </c>
      <c r="L61" s="27">
        <v>70</v>
      </c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>
        <v>59</v>
      </c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8:40" x14ac:dyDescent="0.2">
      <c r="H62" s="17"/>
      <c r="I62" s="17"/>
      <c r="J62" s="17"/>
      <c r="K62" s="26" t="s">
        <v>336</v>
      </c>
      <c r="L62" s="27">
        <v>71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>
        <v>60</v>
      </c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8:40" x14ac:dyDescent="0.2">
      <c r="H63" s="17"/>
      <c r="I63" s="17"/>
      <c r="J63" s="17"/>
      <c r="K63" s="26" t="s">
        <v>862</v>
      </c>
      <c r="L63" s="27">
        <v>72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>
        <v>61</v>
      </c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8:40" x14ac:dyDescent="0.2">
      <c r="H64" s="17"/>
      <c r="I64" s="17"/>
      <c r="J64" s="17"/>
      <c r="K64" s="26" t="s">
        <v>222</v>
      </c>
      <c r="L64" s="27">
        <v>73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>
        <v>62</v>
      </c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8:40" x14ac:dyDescent="0.2">
      <c r="H65" s="17"/>
      <c r="I65" s="17"/>
      <c r="J65" s="17"/>
      <c r="K65" s="26" t="s">
        <v>875</v>
      </c>
      <c r="L65" s="27">
        <v>75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>
        <v>63</v>
      </c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8:40" x14ac:dyDescent="0.2">
      <c r="H66" s="17"/>
      <c r="I66" s="17"/>
      <c r="J66" s="17"/>
      <c r="K66" s="26" t="s">
        <v>1597</v>
      </c>
      <c r="L66" s="27">
        <v>76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>
        <v>64</v>
      </c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8:40" x14ac:dyDescent="0.2">
      <c r="H67" s="17"/>
      <c r="I67" s="17"/>
      <c r="J67" s="17"/>
      <c r="K67" s="26" t="s">
        <v>1598</v>
      </c>
      <c r="L67" s="27">
        <v>77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>
        <v>65</v>
      </c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8:40" x14ac:dyDescent="0.2">
      <c r="H68" s="17"/>
      <c r="I68" s="17"/>
      <c r="J68" s="17"/>
      <c r="K68" s="26" t="s">
        <v>1599</v>
      </c>
      <c r="L68" s="27">
        <v>79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>
        <v>66</v>
      </c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8:40" x14ac:dyDescent="0.2">
      <c r="H69" s="17"/>
      <c r="I69" s="17"/>
      <c r="J69" s="17"/>
      <c r="K69" s="26" t="s">
        <v>1600</v>
      </c>
      <c r="L69" s="27">
        <v>80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>
        <v>67</v>
      </c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8:40" x14ac:dyDescent="0.2">
      <c r="H70" s="17"/>
      <c r="I70" s="17"/>
      <c r="J70" s="17"/>
      <c r="K70" s="26" t="s">
        <v>1601</v>
      </c>
      <c r="L70" s="27">
        <v>81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>
        <v>68</v>
      </c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8:40" x14ac:dyDescent="0.2">
      <c r="H71" s="17"/>
      <c r="I71" s="17"/>
      <c r="J71" s="17"/>
      <c r="K71" s="26" t="s">
        <v>1602</v>
      </c>
      <c r="L71" s="27">
        <v>82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>
        <v>69</v>
      </c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8:40" x14ac:dyDescent="0.2">
      <c r="H72" s="17"/>
      <c r="I72" s="17"/>
      <c r="J72" s="17"/>
      <c r="K72" s="26" t="s">
        <v>1603</v>
      </c>
      <c r="L72" s="27">
        <v>83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>
        <v>70</v>
      </c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8:40" x14ac:dyDescent="0.2">
      <c r="H73" s="17"/>
      <c r="I73" s="17"/>
      <c r="J73" s="17"/>
      <c r="K73" s="26" t="s">
        <v>417</v>
      </c>
      <c r="L73" s="27">
        <v>84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>
        <v>71</v>
      </c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8:40" x14ac:dyDescent="0.2">
      <c r="H74" s="17"/>
      <c r="I74" s="17"/>
      <c r="J74" s="17"/>
      <c r="K74" s="26" t="s">
        <v>666</v>
      </c>
      <c r="L74" s="27">
        <v>85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>
        <v>72</v>
      </c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8:40" x14ac:dyDescent="0.2">
      <c r="H75" s="17"/>
      <c r="I75" s="17"/>
      <c r="J75" s="17"/>
      <c r="K75" s="26" t="s">
        <v>1604</v>
      </c>
      <c r="L75" s="27">
        <v>86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>
        <v>73</v>
      </c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8:40" x14ac:dyDescent="0.2">
      <c r="H76" s="17"/>
      <c r="I76" s="17"/>
      <c r="J76" s="17"/>
      <c r="K76" s="26" t="s">
        <v>1605</v>
      </c>
      <c r="L76" s="27">
        <v>87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>
        <v>74</v>
      </c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spans="8:40" x14ac:dyDescent="0.2">
      <c r="H77" s="17"/>
      <c r="I77" s="17"/>
      <c r="J77" s="17"/>
      <c r="K77" s="26" t="s">
        <v>1049</v>
      </c>
      <c r="L77" s="27">
        <v>88</v>
      </c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>
        <v>75</v>
      </c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8:40" x14ac:dyDescent="0.2">
      <c r="H78" s="17"/>
      <c r="I78" s="17"/>
      <c r="J78" s="17"/>
      <c r="K78" s="26" t="s">
        <v>1606</v>
      </c>
      <c r="L78" s="27">
        <v>89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>
        <v>76</v>
      </c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8:40" x14ac:dyDescent="0.2">
      <c r="H79" s="17"/>
      <c r="I79" s="17"/>
      <c r="J79" s="17"/>
      <c r="K79" s="26" t="s">
        <v>701</v>
      </c>
      <c r="L79" s="27">
        <v>90</v>
      </c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>
        <v>77</v>
      </c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8:40" x14ac:dyDescent="0.2">
      <c r="H80" s="17"/>
      <c r="I80" s="17"/>
      <c r="J80" s="17"/>
      <c r="K80" s="26" t="s">
        <v>1607</v>
      </c>
      <c r="L80" s="27">
        <v>91</v>
      </c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>
        <v>78</v>
      </c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8:40" x14ac:dyDescent="0.2">
      <c r="H81" s="17"/>
      <c r="I81" s="17"/>
      <c r="J81" s="17"/>
      <c r="K81" s="26" t="s">
        <v>1403</v>
      </c>
      <c r="L81" s="27">
        <v>92</v>
      </c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>
        <v>79</v>
      </c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8:40" x14ac:dyDescent="0.2">
      <c r="H82" s="17"/>
      <c r="I82" s="17"/>
      <c r="J82" s="17"/>
      <c r="K82" s="26" t="s">
        <v>650</v>
      </c>
      <c r="L82" s="27">
        <v>94</v>
      </c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>
        <v>80</v>
      </c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8:40" x14ac:dyDescent="0.2">
      <c r="H83" s="17"/>
      <c r="I83" s="17"/>
      <c r="J83" s="17"/>
      <c r="K83" s="26" t="s">
        <v>1608</v>
      </c>
      <c r="L83" s="27">
        <v>95</v>
      </c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>
        <v>81</v>
      </c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8:40" x14ac:dyDescent="0.2">
      <c r="H84" s="17"/>
      <c r="I84" s="17"/>
      <c r="J84" s="17"/>
      <c r="K84" s="26" t="s">
        <v>165</v>
      </c>
      <c r="L84" s="27">
        <v>96</v>
      </c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>
        <v>82</v>
      </c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8:40" x14ac:dyDescent="0.2">
      <c r="H85" s="17"/>
      <c r="I85" s="17"/>
      <c r="J85" s="17"/>
      <c r="K85" s="26" t="s">
        <v>1222</v>
      </c>
      <c r="L85" s="27">
        <v>97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>
        <v>83</v>
      </c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8:40" x14ac:dyDescent="0.2">
      <c r="H86" s="17"/>
      <c r="I86" s="17"/>
      <c r="J86" s="17"/>
      <c r="K86" s="26" t="s">
        <v>1571</v>
      </c>
      <c r="L86" s="27">
        <v>98</v>
      </c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>
        <v>84</v>
      </c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8:40" x14ac:dyDescent="0.2">
      <c r="H87" s="17"/>
      <c r="I87" s="17"/>
      <c r="J87" s="17"/>
      <c r="K87" s="26" t="s">
        <v>622</v>
      </c>
      <c r="L87" s="27">
        <v>100</v>
      </c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>
        <v>85</v>
      </c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8:40" x14ac:dyDescent="0.2">
      <c r="H88" s="17"/>
      <c r="I88" s="17"/>
      <c r="J88" s="17"/>
      <c r="K88" s="26" t="s">
        <v>1609</v>
      </c>
      <c r="L88" s="27">
        <v>101</v>
      </c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>
        <v>86</v>
      </c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8:40" x14ac:dyDescent="0.2">
      <c r="H89" s="17"/>
      <c r="I89" s="17"/>
      <c r="J89" s="17"/>
      <c r="K89" s="26" t="s">
        <v>1610</v>
      </c>
      <c r="L89" s="27">
        <v>102</v>
      </c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>
        <v>87</v>
      </c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8:40" x14ac:dyDescent="0.2">
      <c r="H90" s="17"/>
      <c r="I90" s="17"/>
      <c r="J90" s="17"/>
      <c r="K90" s="26" t="s">
        <v>1611</v>
      </c>
      <c r="L90" s="27">
        <v>103</v>
      </c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>
        <v>88</v>
      </c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8:40" x14ac:dyDescent="0.2">
      <c r="H91" s="17"/>
      <c r="I91" s="17"/>
      <c r="J91" s="17"/>
      <c r="K91" s="26" t="s">
        <v>1207</v>
      </c>
      <c r="L91" s="27">
        <v>104</v>
      </c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>
        <v>89</v>
      </c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8:40" x14ac:dyDescent="0.2">
      <c r="H92" s="17"/>
      <c r="I92" s="17"/>
      <c r="J92" s="17"/>
      <c r="K92" s="26" t="s">
        <v>694</v>
      </c>
      <c r="L92" s="27">
        <v>105</v>
      </c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>
        <v>90</v>
      </c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8:40" x14ac:dyDescent="0.2">
      <c r="H93" s="17"/>
      <c r="I93" s="17"/>
      <c r="J93" s="17"/>
      <c r="K93" s="26" t="s">
        <v>85</v>
      </c>
      <c r="L93" s="27">
        <v>106</v>
      </c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>
        <v>91</v>
      </c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8:40" x14ac:dyDescent="0.2">
      <c r="H94" s="17"/>
      <c r="I94" s="17"/>
      <c r="J94" s="17"/>
      <c r="K94" s="26" t="s">
        <v>1612</v>
      </c>
      <c r="L94" s="27">
        <v>107</v>
      </c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>
        <v>92</v>
      </c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8:40" x14ac:dyDescent="0.2">
      <c r="H95" s="17"/>
      <c r="I95" s="17"/>
      <c r="J95" s="17"/>
      <c r="K95" s="26" t="s">
        <v>1410</v>
      </c>
      <c r="L95" s="27">
        <v>108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>
        <v>93</v>
      </c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8:40" x14ac:dyDescent="0.2">
      <c r="H96" s="17"/>
      <c r="I96" s="17"/>
      <c r="J96" s="17"/>
      <c r="K96" s="26" t="s">
        <v>1102</v>
      </c>
      <c r="L96" s="27">
        <v>109</v>
      </c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>
        <v>94</v>
      </c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8:40" x14ac:dyDescent="0.2">
      <c r="H97" s="17"/>
      <c r="I97" s="17"/>
      <c r="J97" s="17"/>
      <c r="K97" s="26" t="s">
        <v>1613</v>
      </c>
      <c r="L97" s="27">
        <v>110</v>
      </c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>
        <v>95</v>
      </c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8:40" x14ac:dyDescent="0.2">
      <c r="H98" s="17"/>
      <c r="I98" s="17"/>
      <c r="J98" s="17"/>
      <c r="K98" s="26" t="s">
        <v>1614</v>
      </c>
      <c r="L98" s="27">
        <v>111</v>
      </c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>
        <v>96</v>
      </c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8:40" x14ac:dyDescent="0.2">
      <c r="H99" s="17"/>
      <c r="I99" s="17"/>
      <c r="J99" s="17"/>
      <c r="K99" s="26" t="s">
        <v>1266</v>
      </c>
      <c r="L99" s="27">
        <v>112</v>
      </c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>
        <v>97</v>
      </c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8:40" x14ac:dyDescent="0.2">
      <c r="H100" s="17"/>
      <c r="I100" s="17"/>
      <c r="J100" s="17"/>
      <c r="K100" s="26" t="s">
        <v>1615</v>
      </c>
      <c r="L100" s="27">
        <v>113</v>
      </c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>
        <v>98</v>
      </c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8:40" x14ac:dyDescent="0.2">
      <c r="H101" s="17"/>
      <c r="I101" s="17"/>
      <c r="J101" s="17"/>
      <c r="K101" s="26" t="s">
        <v>1616</v>
      </c>
      <c r="L101" s="27">
        <v>114</v>
      </c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>
        <v>99</v>
      </c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8:40" x14ac:dyDescent="0.2">
      <c r="H102" s="17"/>
      <c r="I102" s="17"/>
      <c r="J102" s="17"/>
      <c r="K102" s="26" t="s">
        <v>1351</v>
      </c>
      <c r="L102" s="27">
        <v>116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>
        <v>100</v>
      </c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8:40" x14ac:dyDescent="0.2">
      <c r="H103" s="17"/>
      <c r="I103" s="17"/>
      <c r="J103" s="17"/>
      <c r="K103" s="26" t="s">
        <v>281</v>
      </c>
      <c r="L103" s="27">
        <v>117</v>
      </c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>
        <v>101</v>
      </c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8:40" x14ac:dyDescent="0.2">
      <c r="H104" s="17"/>
      <c r="I104" s="17"/>
      <c r="J104" s="17"/>
      <c r="K104" s="26" t="s">
        <v>495</v>
      </c>
      <c r="L104" s="27">
        <v>118</v>
      </c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>
        <v>102</v>
      </c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8:40" x14ac:dyDescent="0.2">
      <c r="H105" s="17"/>
      <c r="I105" s="17"/>
      <c r="J105" s="17"/>
      <c r="K105" s="26" t="s">
        <v>554</v>
      </c>
      <c r="L105" s="27">
        <v>119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>
        <v>103</v>
      </c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8:40" x14ac:dyDescent="0.2">
      <c r="H106" s="17"/>
      <c r="I106" s="17"/>
      <c r="J106" s="17"/>
      <c r="K106" s="26" t="s">
        <v>455</v>
      </c>
      <c r="L106" s="27">
        <v>120</v>
      </c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>
        <v>104</v>
      </c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8:40" x14ac:dyDescent="0.2">
      <c r="H107" s="17"/>
      <c r="I107" s="17"/>
      <c r="J107" s="17"/>
      <c r="K107" s="26" t="s">
        <v>1617</v>
      </c>
      <c r="L107" s="27">
        <v>121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>
        <v>105</v>
      </c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spans="8:40" x14ac:dyDescent="0.2">
      <c r="H108" s="17"/>
      <c r="I108" s="17"/>
      <c r="J108" s="17"/>
      <c r="K108" s="26" t="s">
        <v>607</v>
      </c>
      <c r="L108" s="27">
        <v>122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>
        <v>106</v>
      </c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spans="8:40" x14ac:dyDescent="0.2">
      <c r="H109" s="17"/>
      <c r="I109" s="17"/>
      <c r="J109" s="17"/>
      <c r="K109" s="26" t="s">
        <v>1618</v>
      </c>
      <c r="L109" s="27">
        <v>124</v>
      </c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>
        <v>107</v>
      </c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spans="8:40" x14ac:dyDescent="0.2">
      <c r="H110" s="17"/>
      <c r="I110" s="17"/>
      <c r="J110" s="17"/>
      <c r="K110" s="26" t="s">
        <v>511</v>
      </c>
      <c r="L110" s="27">
        <v>125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>
        <v>108</v>
      </c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spans="8:40" x14ac:dyDescent="0.2">
      <c r="H111" s="17"/>
      <c r="I111" s="17"/>
      <c r="J111" s="17"/>
      <c r="K111" s="26" t="s">
        <v>43</v>
      </c>
      <c r="L111" s="27">
        <v>126</v>
      </c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>
        <v>109</v>
      </c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spans="8:40" x14ac:dyDescent="0.2">
      <c r="H112" s="17"/>
      <c r="I112" s="17"/>
      <c r="J112" s="17"/>
      <c r="K112" s="26" t="s">
        <v>425</v>
      </c>
      <c r="L112" s="27">
        <v>127</v>
      </c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>
        <v>110</v>
      </c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spans="8:40" x14ac:dyDescent="0.2">
      <c r="H113" s="17"/>
      <c r="I113" s="17"/>
      <c r="J113" s="17"/>
      <c r="K113" s="26" t="s">
        <v>566</v>
      </c>
      <c r="L113" s="27">
        <v>128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>
        <v>111</v>
      </c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spans="8:40" x14ac:dyDescent="0.2">
      <c r="H114" s="17"/>
      <c r="I114" s="17"/>
      <c r="J114" s="17"/>
      <c r="K114" s="26" t="s">
        <v>502</v>
      </c>
      <c r="L114" s="27">
        <v>129</v>
      </c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>
        <v>112</v>
      </c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spans="8:40" x14ac:dyDescent="0.2">
      <c r="H115" s="17"/>
      <c r="I115" s="17"/>
      <c r="J115" s="17"/>
      <c r="K115" s="26" t="s">
        <v>988</v>
      </c>
      <c r="L115" s="27">
        <v>130</v>
      </c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>
        <v>113</v>
      </c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spans="8:40" x14ac:dyDescent="0.2">
      <c r="H116" s="17"/>
      <c r="I116" s="17"/>
      <c r="J116" s="17"/>
      <c r="K116" s="26" t="s">
        <v>1198</v>
      </c>
      <c r="L116" s="27">
        <v>131</v>
      </c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>
        <v>114</v>
      </c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spans="8:40" x14ac:dyDescent="0.2">
      <c r="H117" s="17"/>
      <c r="I117" s="17"/>
      <c r="J117" s="17"/>
      <c r="K117" s="26" t="s">
        <v>51</v>
      </c>
      <c r="L117" s="27">
        <v>132</v>
      </c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>
        <v>115</v>
      </c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spans="8:40" x14ac:dyDescent="0.2">
      <c r="H118" s="17"/>
      <c r="I118" s="17"/>
      <c r="J118" s="17"/>
      <c r="K118" s="26" t="s">
        <v>1619</v>
      </c>
      <c r="L118" s="27">
        <v>134</v>
      </c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>
        <v>116</v>
      </c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spans="8:40" x14ac:dyDescent="0.2">
      <c r="H119" s="17"/>
      <c r="I119" s="17"/>
      <c r="J119" s="17"/>
      <c r="K119" s="26" t="s">
        <v>1620</v>
      </c>
      <c r="L119" s="27">
        <v>135</v>
      </c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>
        <v>117</v>
      </c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spans="8:40" x14ac:dyDescent="0.2">
      <c r="H120" s="17"/>
      <c r="I120" s="17"/>
      <c r="J120" s="17"/>
      <c r="K120" s="26" t="s">
        <v>1327</v>
      </c>
      <c r="L120" s="27">
        <v>136</v>
      </c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>
        <v>118</v>
      </c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spans="8:40" x14ac:dyDescent="0.2">
      <c r="H121" s="17"/>
      <c r="I121" s="17"/>
      <c r="J121" s="17"/>
      <c r="K121" s="26" t="s">
        <v>1192</v>
      </c>
      <c r="L121" s="27">
        <v>137</v>
      </c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>
        <v>119</v>
      </c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spans="8:40" x14ac:dyDescent="0.2">
      <c r="H122" s="17"/>
      <c r="I122" s="17"/>
      <c r="J122" s="17"/>
      <c r="K122" s="26" t="s">
        <v>1621</v>
      </c>
      <c r="L122" s="27">
        <v>138</v>
      </c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>
        <v>120</v>
      </c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spans="8:40" x14ac:dyDescent="0.2">
      <c r="H123" s="17"/>
      <c r="I123" s="17"/>
      <c r="J123" s="17"/>
      <c r="K123" s="26" t="s">
        <v>1622</v>
      </c>
      <c r="L123" s="27">
        <v>139</v>
      </c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>
        <v>121</v>
      </c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spans="8:40" x14ac:dyDescent="0.2">
      <c r="H124" s="17"/>
      <c r="I124" s="17"/>
      <c r="J124" s="17"/>
      <c r="K124" s="26" t="s">
        <v>910</v>
      </c>
      <c r="L124" s="27">
        <v>140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>
        <v>122</v>
      </c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spans="8:40" x14ac:dyDescent="0.2">
      <c r="H125" s="17"/>
      <c r="I125" s="17"/>
      <c r="J125" s="17"/>
      <c r="K125" s="26" t="s">
        <v>888</v>
      </c>
      <c r="L125" s="27">
        <v>141</v>
      </c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>
        <v>123</v>
      </c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spans="8:40" x14ac:dyDescent="0.2">
      <c r="H126" s="17"/>
      <c r="I126" s="17"/>
      <c r="J126" s="17"/>
      <c r="K126" s="26" t="s">
        <v>21</v>
      </c>
      <c r="L126" s="27">
        <v>142</v>
      </c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>
        <v>124</v>
      </c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spans="8:40" x14ac:dyDescent="0.2">
      <c r="H127" s="17"/>
      <c r="I127" s="17"/>
      <c r="J127" s="17"/>
      <c r="K127" s="26" t="s">
        <v>1146</v>
      </c>
      <c r="L127" s="27">
        <v>143</v>
      </c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>
        <v>125</v>
      </c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spans="8:40" x14ac:dyDescent="0.2">
      <c r="H128" s="17"/>
      <c r="I128" s="17"/>
      <c r="J128" s="17"/>
      <c r="K128" s="26" t="s">
        <v>1214</v>
      </c>
      <c r="L128" s="27">
        <v>144</v>
      </c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>
        <v>126</v>
      </c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spans="8:40" x14ac:dyDescent="0.2">
      <c r="H129" s="17"/>
      <c r="I129" s="17"/>
      <c r="J129" s="17"/>
      <c r="K129" s="26" t="s">
        <v>945</v>
      </c>
      <c r="L129" s="27">
        <v>145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spans="8:40" x14ac:dyDescent="0.2">
      <c r="H130" s="17"/>
      <c r="I130" s="17"/>
      <c r="J130" s="17"/>
      <c r="K130" s="26" t="s">
        <v>726</v>
      </c>
      <c r="L130" s="27">
        <v>146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>
        <v>127</v>
      </c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spans="8:40" x14ac:dyDescent="0.2">
      <c r="H131" s="17"/>
      <c r="I131" s="17"/>
      <c r="J131" s="17"/>
      <c r="K131" s="26" t="s">
        <v>441</v>
      </c>
      <c r="L131" s="27">
        <v>147</v>
      </c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>
        <v>128</v>
      </c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spans="8:40" x14ac:dyDescent="0.2">
      <c r="H132" s="17"/>
      <c r="I132" s="17"/>
      <c r="J132" s="17"/>
      <c r="K132" s="26" t="s">
        <v>643</v>
      </c>
      <c r="L132" s="27">
        <v>148</v>
      </c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>
        <v>129</v>
      </c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spans="8:40" x14ac:dyDescent="0.2">
      <c r="H133" s="17"/>
      <c r="I133" s="17"/>
      <c r="J133" s="17"/>
      <c r="K133" s="26" t="s">
        <v>149</v>
      </c>
      <c r="L133" s="27">
        <v>149</v>
      </c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>
        <v>130</v>
      </c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spans="8:40" x14ac:dyDescent="0.2">
      <c r="H134" s="17"/>
      <c r="I134" s="17"/>
      <c r="J134" s="17"/>
      <c r="K134" s="26" t="s">
        <v>733</v>
      </c>
      <c r="L134" s="27">
        <v>152</v>
      </c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>
        <v>131</v>
      </c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spans="8:40" x14ac:dyDescent="0.2">
      <c r="H135" s="17"/>
      <c r="I135" s="17"/>
      <c r="J135" s="17"/>
      <c r="K135" s="26" t="s">
        <v>816</v>
      </c>
      <c r="L135" s="27">
        <v>153</v>
      </c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>
        <v>132</v>
      </c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spans="8:40" x14ac:dyDescent="0.2">
      <c r="H136" s="17"/>
      <c r="I136" s="17"/>
      <c r="J136" s="17"/>
      <c r="K136" s="26" t="s">
        <v>777</v>
      </c>
      <c r="L136" s="27">
        <v>154</v>
      </c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>
        <v>133</v>
      </c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spans="8:40" x14ac:dyDescent="0.2">
      <c r="H137" s="17"/>
      <c r="I137" s="17"/>
      <c r="J137" s="17"/>
      <c r="K137" s="26" t="s">
        <v>1242</v>
      </c>
      <c r="L137" s="27">
        <v>155</v>
      </c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>
        <v>134</v>
      </c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spans="8:40" x14ac:dyDescent="0.2">
      <c r="H138" s="17"/>
      <c r="I138" s="17"/>
      <c r="J138" s="17"/>
      <c r="K138" s="26" t="s">
        <v>275</v>
      </c>
      <c r="L138" s="27">
        <v>156</v>
      </c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>
        <v>135</v>
      </c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spans="8:40" x14ac:dyDescent="0.2">
      <c r="H139" s="17"/>
      <c r="I139" s="17"/>
      <c r="J139" s="17"/>
      <c r="K139" s="26" t="s">
        <v>118</v>
      </c>
      <c r="L139" s="27">
        <v>159</v>
      </c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>
        <v>136</v>
      </c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spans="8:40" x14ac:dyDescent="0.2">
      <c r="H140" s="17"/>
      <c r="I140" s="17"/>
      <c r="J140" s="17"/>
      <c r="K140" s="26" t="s">
        <v>772</v>
      </c>
      <c r="L140" s="27">
        <v>161</v>
      </c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>
        <v>137</v>
      </c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spans="8:40" x14ac:dyDescent="0.2">
      <c r="H141" s="17"/>
      <c r="I141" s="17"/>
      <c r="J141" s="17"/>
      <c r="K141" s="26" t="s">
        <v>1368</v>
      </c>
      <c r="L141" s="27">
        <v>162</v>
      </c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>
        <v>138</v>
      </c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spans="8:40" x14ac:dyDescent="0.2">
      <c r="H142" s="17"/>
      <c r="I142" s="17"/>
      <c r="J142" s="17"/>
      <c r="K142" s="26" t="s">
        <v>374</v>
      </c>
      <c r="L142" s="27">
        <v>163</v>
      </c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>
        <v>139</v>
      </c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spans="8:40" x14ac:dyDescent="0.2">
      <c r="H143" s="17"/>
      <c r="I143" s="17"/>
      <c r="J143" s="17"/>
      <c r="K143" s="26" t="s">
        <v>1122</v>
      </c>
      <c r="L143" s="27">
        <v>164</v>
      </c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>
        <v>140</v>
      </c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spans="8:40" x14ac:dyDescent="0.2">
      <c r="H144" s="17"/>
      <c r="I144" s="17"/>
      <c r="J144" s="17"/>
      <c r="K144" s="26" t="s">
        <v>1623</v>
      </c>
      <c r="L144" s="27">
        <v>165</v>
      </c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>
        <v>141</v>
      </c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spans="8:40" x14ac:dyDescent="0.2">
      <c r="H145" s="17"/>
      <c r="I145" s="17"/>
      <c r="J145" s="17"/>
      <c r="K145" s="26" t="s">
        <v>361</v>
      </c>
      <c r="L145" s="27">
        <v>166</v>
      </c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>
        <v>142</v>
      </c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spans="8:40" x14ac:dyDescent="0.2">
      <c r="H146" s="17"/>
      <c r="I146" s="17"/>
      <c r="J146" s="17"/>
      <c r="K146" s="26" t="s">
        <v>896</v>
      </c>
      <c r="L146" s="27">
        <v>167</v>
      </c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>
        <v>143</v>
      </c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spans="8:40" x14ac:dyDescent="0.2">
      <c r="H147" s="17"/>
      <c r="I147" s="17"/>
      <c r="J147" s="17"/>
      <c r="K147" s="26" t="s">
        <v>1138</v>
      </c>
      <c r="L147" s="27">
        <v>168</v>
      </c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>
        <v>144</v>
      </c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spans="8:40" x14ac:dyDescent="0.2">
      <c r="H148" s="17"/>
      <c r="I148" s="17"/>
      <c r="J148" s="17"/>
      <c r="K148" s="26" t="s">
        <v>588</v>
      </c>
      <c r="L148" s="27">
        <v>169</v>
      </c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>
        <v>146</v>
      </c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spans="8:40" x14ac:dyDescent="0.2">
      <c r="H149" s="17"/>
      <c r="I149" s="17"/>
      <c r="J149" s="17"/>
      <c r="K149" s="26" t="s">
        <v>1285</v>
      </c>
      <c r="L149" s="27">
        <v>170</v>
      </c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>
        <v>147</v>
      </c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spans="8:40" x14ac:dyDescent="0.2">
      <c r="H150" s="17"/>
      <c r="I150" s="17"/>
      <c r="J150" s="17"/>
      <c r="K150" s="26" t="s">
        <v>958</v>
      </c>
      <c r="L150" s="27">
        <v>171</v>
      </c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>
        <v>148</v>
      </c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spans="8:40" x14ac:dyDescent="0.2">
      <c r="H151" s="17"/>
      <c r="I151" s="17"/>
      <c r="J151" s="17"/>
      <c r="K151" s="26" t="s">
        <v>1504</v>
      </c>
      <c r="L151" s="27">
        <v>172</v>
      </c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>
        <v>149</v>
      </c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spans="8:40" x14ac:dyDescent="0.2">
      <c r="H152" s="17"/>
      <c r="I152" s="17"/>
      <c r="J152" s="17"/>
      <c r="K152" s="26" t="s">
        <v>794</v>
      </c>
      <c r="L152" s="27">
        <v>173</v>
      </c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>
        <v>150</v>
      </c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spans="8:40" x14ac:dyDescent="0.2">
      <c r="H153" s="17"/>
      <c r="I153" s="17"/>
      <c r="J153" s="17"/>
      <c r="K153" s="26" t="s">
        <v>527</v>
      </c>
      <c r="L153" s="27">
        <v>174</v>
      </c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>
        <v>151</v>
      </c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spans="8:40" x14ac:dyDescent="0.2">
      <c r="H154" s="17"/>
      <c r="I154" s="17"/>
      <c r="J154" s="17"/>
      <c r="K154" s="26" t="s">
        <v>1624</v>
      </c>
      <c r="L154" s="27">
        <v>175</v>
      </c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>
        <v>152</v>
      </c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spans="8:40" x14ac:dyDescent="0.2">
      <c r="H155" s="17"/>
      <c r="I155" s="17"/>
      <c r="J155" s="17"/>
      <c r="K155" s="26" t="s">
        <v>1259</v>
      </c>
      <c r="L155" s="27">
        <v>176</v>
      </c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>
        <v>153</v>
      </c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spans="8:40" x14ac:dyDescent="0.2">
      <c r="H156" s="17"/>
      <c r="I156" s="17"/>
      <c r="J156" s="17"/>
      <c r="K156" s="26" t="s">
        <v>199</v>
      </c>
      <c r="L156" s="27">
        <v>177</v>
      </c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>
        <v>154</v>
      </c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spans="8:40" x14ac:dyDescent="0.2">
      <c r="H157" s="17"/>
      <c r="I157" s="17"/>
      <c r="J157" s="17"/>
      <c r="K157" s="26" t="s">
        <v>229</v>
      </c>
      <c r="L157" s="27">
        <v>178</v>
      </c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spans="8:40" x14ac:dyDescent="0.2">
      <c r="H158" s="17"/>
      <c r="I158" s="17"/>
      <c r="J158" s="17"/>
      <c r="K158" s="26" t="s">
        <v>1625</v>
      </c>
      <c r="L158" s="27">
        <v>179</v>
      </c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>
        <v>155</v>
      </c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spans="8:40" x14ac:dyDescent="0.2">
      <c r="H159" s="17"/>
      <c r="I159" s="17"/>
      <c r="J159" s="17"/>
      <c r="K159" s="26" t="s">
        <v>1626</v>
      </c>
      <c r="L159" s="27">
        <v>180</v>
      </c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>
        <v>156</v>
      </c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spans="8:40" x14ac:dyDescent="0.2">
      <c r="H160" s="17"/>
      <c r="I160" s="17"/>
      <c r="J160" s="17"/>
      <c r="K160" s="26" t="s">
        <v>1034</v>
      </c>
      <c r="L160" s="27">
        <v>182</v>
      </c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>
        <v>157</v>
      </c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spans="8:40" x14ac:dyDescent="0.2">
      <c r="H161" s="17"/>
      <c r="I161" s="17"/>
      <c r="J161" s="17"/>
      <c r="K161" s="26" t="s">
        <v>824</v>
      </c>
      <c r="L161" s="27">
        <v>183</v>
      </c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>
        <v>158</v>
      </c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spans="8:40" x14ac:dyDescent="0.2">
      <c r="H162" s="17"/>
      <c r="I162" s="17"/>
      <c r="J162" s="17"/>
      <c r="K162" s="26" t="s">
        <v>1627</v>
      </c>
      <c r="L162" s="27">
        <v>184</v>
      </c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>
        <v>159</v>
      </c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spans="8:40" x14ac:dyDescent="0.2">
      <c r="H163" s="17"/>
      <c r="I163" s="17"/>
      <c r="J163" s="17"/>
      <c r="K163" s="26" t="s">
        <v>268</v>
      </c>
      <c r="L163" s="27">
        <v>185</v>
      </c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spans="8:40" x14ac:dyDescent="0.2">
      <c r="H164" s="17"/>
      <c r="I164" s="17"/>
      <c r="J164" s="17"/>
      <c r="K164" s="26" t="s">
        <v>1430</v>
      </c>
      <c r="L164" s="27">
        <v>186</v>
      </c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>
        <v>160</v>
      </c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spans="8:40" x14ac:dyDescent="0.2">
      <c r="H165" s="17"/>
      <c r="I165" s="17"/>
      <c r="J165" s="17"/>
      <c r="K165" s="26" t="s">
        <v>560</v>
      </c>
      <c r="L165" s="27">
        <v>188</v>
      </c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>
        <v>161</v>
      </c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spans="8:40" x14ac:dyDescent="0.2">
      <c r="H166" s="17"/>
      <c r="I166" s="17"/>
      <c r="J166" s="17"/>
      <c r="K166" s="26" t="s">
        <v>93</v>
      </c>
      <c r="L166" s="27">
        <v>189</v>
      </c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>
        <v>162</v>
      </c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spans="8:40" x14ac:dyDescent="0.2">
      <c r="H167" s="17"/>
      <c r="I167" s="17"/>
      <c r="J167" s="17"/>
      <c r="K167" s="26" t="s">
        <v>1628</v>
      </c>
      <c r="L167" s="27">
        <v>192</v>
      </c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>
        <v>163</v>
      </c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spans="8:40" x14ac:dyDescent="0.2">
      <c r="H168" s="17"/>
      <c r="I168" s="17"/>
      <c r="J168" s="17"/>
      <c r="K168" s="26" t="s">
        <v>1629</v>
      </c>
      <c r="L168" s="27">
        <v>193</v>
      </c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>
        <v>164</v>
      </c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spans="8:40" x14ac:dyDescent="0.2">
      <c r="H169" s="17"/>
      <c r="I169" s="17"/>
      <c r="J169" s="17"/>
      <c r="K169" s="26" t="s">
        <v>1630</v>
      </c>
      <c r="L169" s="27">
        <v>194</v>
      </c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>
        <v>165</v>
      </c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spans="8:40" x14ac:dyDescent="0.2">
      <c r="H170" s="17"/>
      <c r="I170" s="17"/>
      <c r="J170" s="17"/>
      <c r="K170" s="26" t="s">
        <v>630</v>
      </c>
      <c r="L170" s="27">
        <v>196</v>
      </c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>
        <v>166</v>
      </c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spans="8:40" x14ac:dyDescent="0.2">
      <c r="H171" s="17"/>
      <c r="I171" s="17"/>
      <c r="J171" s="17"/>
      <c r="K171" s="26" t="s">
        <v>1279</v>
      </c>
      <c r="L171" s="27">
        <v>197</v>
      </c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>
        <v>167</v>
      </c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spans="8:40" x14ac:dyDescent="0.2">
      <c r="H172" s="17"/>
      <c r="I172" s="17"/>
      <c r="J172" s="17"/>
      <c r="K172" s="26" t="s">
        <v>1043</v>
      </c>
      <c r="L172" s="27">
        <v>199</v>
      </c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>
        <v>168</v>
      </c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spans="8:40" x14ac:dyDescent="0.2">
      <c r="H173" s="17"/>
      <c r="I173" s="17"/>
      <c r="J173" s="17"/>
      <c r="K173" s="26" t="s">
        <v>1235</v>
      </c>
      <c r="L173" s="27">
        <v>200</v>
      </c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>
        <v>169</v>
      </c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spans="8:40" x14ac:dyDescent="0.2">
      <c r="H174" s="17"/>
      <c r="I174" s="17"/>
      <c r="J174" s="17"/>
      <c r="K174" s="26" t="s">
        <v>320</v>
      </c>
      <c r="L174" s="27">
        <v>201</v>
      </c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>
        <v>170</v>
      </c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spans="8:40" x14ac:dyDescent="0.2">
      <c r="H175" s="17"/>
      <c r="I175" s="17"/>
      <c r="J175" s="17"/>
      <c r="K175" s="26" t="s">
        <v>369</v>
      </c>
      <c r="L175" s="27">
        <v>202</v>
      </c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>
        <v>171</v>
      </c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spans="8:40" x14ac:dyDescent="0.2">
      <c r="H176" s="17"/>
      <c r="I176" s="17"/>
      <c r="J176" s="17"/>
      <c r="K176" s="26" t="s">
        <v>1631</v>
      </c>
      <c r="L176" s="27">
        <v>203</v>
      </c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>
        <v>172</v>
      </c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spans="8:40" x14ac:dyDescent="0.2">
      <c r="H177" s="17"/>
      <c r="I177" s="17"/>
      <c r="J177" s="17"/>
      <c r="K177" s="26" t="s">
        <v>1632</v>
      </c>
      <c r="L177" s="27">
        <v>204</v>
      </c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>
        <v>173</v>
      </c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spans="8:40" x14ac:dyDescent="0.2">
      <c r="H178" s="17"/>
      <c r="I178" s="17"/>
      <c r="J178" s="17"/>
      <c r="K178" s="26" t="s">
        <v>572</v>
      </c>
      <c r="L178" s="27">
        <v>205</v>
      </c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>
        <v>174</v>
      </c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spans="8:40" x14ac:dyDescent="0.2">
      <c r="H179" s="17"/>
      <c r="I179" s="17"/>
      <c r="J179" s="17"/>
      <c r="K179" s="26" t="s">
        <v>1014</v>
      </c>
      <c r="L179" s="27">
        <v>206</v>
      </c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>
        <v>175</v>
      </c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spans="8:40" x14ac:dyDescent="0.2">
      <c r="H180" s="17"/>
      <c r="I180" s="17"/>
      <c r="J180" s="17"/>
      <c r="K180" s="26" t="s">
        <v>1300</v>
      </c>
      <c r="L180" s="27">
        <v>207</v>
      </c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>
        <v>176</v>
      </c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spans="8:40" x14ac:dyDescent="0.2">
      <c r="H181" s="17"/>
      <c r="I181" s="17"/>
      <c r="J181" s="17"/>
      <c r="K181" s="26" t="s">
        <v>243</v>
      </c>
      <c r="L181" s="27">
        <v>208</v>
      </c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>
        <v>177</v>
      </c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spans="8:40" x14ac:dyDescent="0.2">
      <c r="H182" s="17"/>
      <c r="I182" s="17"/>
      <c r="J182" s="17"/>
      <c r="K182" s="26" t="s">
        <v>756</v>
      </c>
      <c r="L182" s="27">
        <v>209</v>
      </c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>
        <v>178</v>
      </c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spans="8:40" x14ac:dyDescent="0.2">
      <c r="H183" s="17"/>
      <c r="I183" s="17"/>
      <c r="J183" s="17"/>
      <c r="K183" s="26" t="s">
        <v>1451</v>
      </c>
      <c r="L183" s="27">
        <v>210</v>
      </c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>
        <v>179</v>
      </c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spans="8:40" x14ac:dyDescent="0.2">
      <c r="H184" s="17"/>
      <c r="I184" s="17"/>
      <c r="J184" s="17"/>
      <c r="K184" s="26" t="s">
        <v>840</v>
      </c>
      <c r="L184" s="27">
        <v>211</v>
      </c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>
        <v>180</v>
      </c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spans="8:40" x14ac:dyDescent="0.2">
      <c r="H185" s="17"/>
      <c r="I185" s="17"/>
      <c r="J185" s="17"/>
      <c r="K185" s="26" t="s">
        <v>1633</v>
      </c>
      <c r="L185" s="27">
        <v>212</v>
      </c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>
        <v>181</v>
      </c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spans="8:40" x14ac:dyDescent="0.2">
      <c r="H186" s="17"/>
      <c r="I186" s="17"/>
      <c r="J186" s="17"/>
      <c r="K186" s="26" t="s">
        <v>657</v>
      </c>
      <c r="L186" s="27">
        <v>213</v>
      </c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>
        <v>182</v>
      </c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spans="8:40" x14ac:dyDescent="0.2">
      <c r="H187" s="17"/>
      <c r="I187" s="17"/>
      <c r="J187" s="17"/>
      <c r="K187" s="26" t="s">
        <v>1634</v>
      </c>
      <c r="L187" s="27">
        <v>214</v>
      </c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>
        <v>183</v>
      </c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spans="8:40" x14ac:dyDescent="0.2">
      <c r="H188" s="17"/>
      <c r="I188" s="17"/>
      <c r="J188" s="17"/>
      <c r="K188" s="26" t="s">
        <v>846</v>
      </c>
      <c r="L188" s="27">
        <v>215</v>
      </c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spans="8:40" x14ac:dyDescent="0.2">
      <c r="H189" s="17"/>
      <c r="I189" s="17"/>
      <c r="J189" s="17"/>
      <c r="K189" s="26" t="s">
        <v>1319</v>
      </c>
      <c r="L189" s="27">
        <v>216</v>
      </c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>
        <v>184</v>
      </c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spans="8:40" x14ac:dyDescent="0.2">
      <c r="H190" s="17"/>
      <c r="I190" s="17"/>
      <c r="J190" s="17"/>
      <c r="K190" s="26" t="s">
        <v>1389</v>
      </c>
      <c r="L190" s="27">
        <v>218</v>
      </c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>
        <v>185</v>
      </c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spans="8:40" x14ac:dyDescent="0.2">
      <c r="H191" s="17"/>
      <c r="I191" s="17"/>
      <c r="J191" s="17"/>
      <c r="K191" s="26" t="s">
        <v>1635</v>
      </c>
      <c r="L191" s="27">
        <v>219</v>
      </c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>
        <v>186</v>
      </c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spans="8:40" x14ac:dyDescent="0.2">
      <c r="H192" s="17"/>
      <c r="I192" s="17"/>
      <c r="J192" s="17"/>
      <c r="K192" s="26" t="s">
        <v>1636</v>
      </c>
      <c r="L192" s="27">
        <v>220</v>
      </c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>
        <v>187</v>
      </c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spans="8:40" x14ac:dyDescent="0.2">
      <c r="H193" s="17"/>
      <c r="I193" s="17"/>
      <c r="J193" s="17"/>
      <c r="K193" s="26" t="s">
        <v>1672</v>
      </c>
      <c r="L193" s="27">
        <v>221</v>
      </c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>
        <v>188</v>
      </c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spans="8:40" x14ac:dyDescent="0.2">
      <c r="H194" s="17"/>
      <c r="I194" s="17"/>
      <c r="J194" s="17"/>
      <c r="K194" s="26" t="s">
        <v>1637</v>
      </c>
      <c r="L194" s="27">
        <v>223</v>
      </c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>
        <v>189</v>
      </c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spans="8:40" x14ac:dyDescent="0.2">
      <c r="H195" s="17"/>
      <c r="I195" s="17"/>
      <c r="J195" s="17"/>
      <c r="K195" s="26" t="s">
        <v>1638</v>
      </c>
      <c r="L195" s="27">
        <v>224</v>
      </c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>
        <v>190</v>
      </c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spans="8:40" x14ac:dyDescent="0.2">
      <c r="H196" s="17"/>
      <c r="I196" s="17"/>
      <c r="J196" s="17"/>
      <c r="K196" s="26" t="s">
        <v>673</v>
      </c>
      <c r="L196" s="27">
        <v>225</v>
      </c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>
        <v>191</v>
      </c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spans="8:40" x14ac:dyDescent="0.2">
      <c r="H197" s="17"/>
      <c r="I197" s="17"/>
      <c r="J197" s="17"/>
      <c r="K197" s="26" t="s">
        <v>1445</v>
      </c>
      <c r="L197" s="27">
        <v>228</v>
      </c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>
        <v>192</v>
      </c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spans="8:40" x14ac:dyDescent="0.2">
      <c r="H198" s="17"/>
      <c r="I198" s="17"/>
      <c r="J198" s="17"/>
      <c r="K198" s="26" t="s">
        <v>1639</v>
      </c>
      <c r="L198" s="27">
        <v>229</v>
      </c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>
        <v>193</v>
      </c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spans="8:40" x14ac:dyDescent="0.2">
      <c r="H199" s="17"/>
      <c r="I199" s="17"/>
      <c r="J199" s="17"/>
      <c r="K199" s="26" t="s">
        <v>966</v>
      </c>
      <c r="L199" s="27">
        <v>231</v>
      </c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>
        <v>194</v>
      </c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spans="8:40" x14ac:dyDescent="0.2">
      <c r="H200" s="17"/>
      <c r="I200" s="17"/>
      <c r="J200" s="17"/>
      <c r="K200" s="26" t="s">
        <v>601</v>
      </c>
      <c r="L200" s="27">
        <v>232</v>
      </c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>
        <v>195</v>
      </c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spans="8:40" x14ac:dyDescent="0.2">
      <c r="H201" s="17"/>
      <c r="I201" s="17"/>
      <c r="J201" s="17"/>
      <c r="K201" s="26" t="s">
        <v>126</v>
      </c>
      <c r="L201" s="27">
        <v>233</v>
      </c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>
        <v>196</v>
      </c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spans="8:40" x14ac:dyDescent="0.2">
      <c r="H202" s="17"/>
      <c r="I202" s="17"/>
      <c r="J202" s="17"/>
      <c r="K202" s="26" t="s">
        <v>1640</v>
      </c>
      <c r="L202" s="27">
        <v>234</v>
      </c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>
        <v>197</v>
      </c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spans="8:40" x14ac:dyDescent="0.2">
      <c r="H203" s="17"/>
      <c r="I203" s="17"/>
      <c r="J203" s="17"/>
      <c r="K203" s="26" t="s">
        <v>390</v>
      </c>
      <c r="L203" s="27">
        <v>237</v>
      </c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>
        <v>198</v>
      </c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spans="8:40" x14ac:dyDescent="0.2">
      <c r="K204" s="26" t="s">
        <v>1185</v>
      </c>
      <c r="L204" s="27">
        <v>238</v>
      </c>
      <c r="Y204" s="36">
        <v>199</v>
      </c>
    </row>
    <row r="205" spans="8:40" x14ac:dyDescent="0.2">
      <c r="K205" s="26" t="s">
        <v>1641</v>
      </c>
      <c r="L205" s="27">
        <v>239</v>
      </c>
      <c r="Y205" s="36">
        <v>200</v>
      </c>
    </row>
    <row r="206" spans="8:40" x14ac:dyDescent="0.2">
      <c r="K206" s="26" t="s">
        <v>1642</v>
      </c>
      <c r="L206" s="27">
        <v>240</v>
      </c>
      <c r="Y206" s="36">
        <v>201</v>
      </c>
    </row>
    <row r="207" spans="8:40" x14ac:dyDescent="0.2">
      <c r="K207" s="26" t="s">
        <v>1643</v>
      </c>
      <c r="L207" s="27">
        <v>241</v>
      </c>
      <c r="Y207" s="36">
        <v>202</v>
      </c>
    </row>
    <row r="208" spans="8:40" x14ac:dyDescent="0.2">
      <c r="K208" s="26" t="s">
        <v>1644</v>
      </c>
      <c r="L208" s="27">
        <v>242</v>
      </c>
      <c r="Y208" s="36">
        <v>203</v>
      </c>
    </row>
    <row r="209" spans="11:25" x14ac:dyDescent="0.2">
      <c r="K209" s="26" t="s">
        <v>1645</v>
      </c>
      <c r="L209" s="27">
        <v>243</v>
      </c>
      <c r="Y209" s="36">
        <v>204</v>
      </c>
    </row>
    <row r="210" spans="11:25" x14ac:dyDescent="0.2">
      <c r="K210" s="26" t="s">
        <v>1646</v>
      </c>
      <c r="L210" s="27">
        <v>244</v>
      </c>
      <c r="Y210" s="36">
        <v>205</v>
      </c>
    </row>
    <row r="211" spans="11:25" x14ac:dyDescent="0.2">
      <c r="K211" s="26" t="s">
        <v>580</v>
      </c>
      <c r="L211" s="27">
        <v>245</v>
      </c>
      <c r="Y211" s="36">
        <v>206</v>
      </c>
    </row>
    <row r="212" spans="11:25" x14ac:dyDescent="0.2">
      <c r="K212" s="26" t="s">
        <v>1272</v>
      </c>
      <c r="L212" s="27">
        <v>246</v>
      </c>
      <c r="Y212" s="36">
        <v>207</v>
      </c>
    </row>
    <row r="213" spans="11:25" x14ac:dyDescent="0.2">
      <c r="K213" s="26" t="s">
        <v>1252</v>
      </c>
      <c r="L213" s="27">
        <v>247</v>
      </c>
      <c r="Y213" s="36">
        <v>208</v>
      </c>
    </row>
    <row r="214" spans="11:25" x14ac:dyDescent="0.2">
      <c r="K214" s="26" t="s">
        <v>1069</v>
      </c>
      <c r="L214" s="27">
        <v>248</v>
      </c>
      <c r="Y214" s="36">
        <v>209</v>
      </c>
    </row>
    <row r="215" spans="11:25" x14ac:dyDescent="0.2">
      <c r="Y215" s="36">
        <v>210</v>
      </c>
    </row>
    <row r="216" spans="11:25" x14ac:dyDescent="0.2">
      <c r="Y216" s="36">
        <v>211</v>
      </c>
    </row>
    <row r="217" spans="11:25" x14ac:dyDescent="0.2">
      <c r="Y217" s="36">
        <v>212</v>
      </c>
    </row>
    <row r="218" spans="11:25" x14ac:dyDescent="0.2">
      <c r="Y218" s="36">
        <v>213</v>
      </c>
    </row>
    <row r="219" spans="11:25" x14ac:dyDescent="0.2">
      <c r="Y219" s="36">
        <v>214</v>
      </c>
    </row>
    <row r="220" spans="11:25" x14ac:dyDescent="0.2">
      <c r="Y220" s="36">
        <v>215</v>
      </c>
    </row>
    <row r="221" spans="11:25" x14ac:dyDescent="0.2">
      <c r="Y221" s="36">
        <v>216</v>
      </c>
    </row>
    <row r="222" spans="11:25" x14ac:dyDescent="0.2">
      <c r="Y222" s="36">
        <v>217</v>
      </c>
    </row>
    <row r="223" spans="11:25" x14ac:dyDescent="0.2">
      <c r="Y223" s="36">
        <v>218</v>
      </c>
    </row>
    <row r="224" spans="11:25" x14ac:dyDescent="0.2">
      <c r="Y224" s="36">
        <v>219</v>
      </c>
    </row>
    <row r="225" spans="25:25" x14ac:dyDescent="0.2">
      <c r="Y225" s="36">
        <v>220</v>
      </c>
    </row>
    <row r="226" spans="25:25" x14ac:dyDescent="0.2">
      <c r="Y226" s="36">
        <v>221</v>
      </c>
    </row>
    <row r="227" spans="25:25" x14ac:dyDescent="0.2">
      <c r="Y227" s="36">
        <v>222</v>
      </c>
    </row>
    <row r="228" spans="25:25" x14ac:dyDescent="0.2">
      <c r="Y228" s="36">
        <v>223</v>
      </c>
    </row>
    <row r="229" spans="25:25" x14ac:dyDescent="0.2">
      <c r="Y229" s="36">
        <v>224</v>
      </c>
    </row>
    <row r="230" spans="25:25" x14ac:dyDescent="0.2">
      <c r="Y230" s="36">
        <v>225</v>
      </c>
    </row>
    <row r="231" spans="25:25" x14ac:dyDescent="0.2">
      <c r="Y231" s="36">
        <v>226</v>
      </c>
    </row>
    <row r="232" spans="25:25" x14ac:dyDescent="0.2">
      <c r="Y232" s="36">
        <v>227</v>
      </c>
    </row>
    <row r="233" spans="25:25" x14ac:dyDescent="0.2">
      <c r="Y233" s="36">
        <v>228</v>
      </c>
    </row>
    <row r="234" spans="25:25" x14ac:dyDescent="0.2">
      <c r="Y234" s="36">
        <v>229</v>
      </c>
    </row>
    <row r="235" spans="25:25" x14ac:dyDescent="0.2">
      <c r="Y235" s="36">
        <v>230</v>
      </c>
    </row>
    <row r="236" spans="25:25" x14ac:dyDescent="0.2">
      <c r="Y236" s="36">
        <v>231</v>
      </c>
    </row>
    <row r="237" spans="25:25" x14ac:dyDescent="0.2">
      <c r="Y237" s="36">
        <v>232</v>
      </c>
    </row>
    <row r="238" spans="25:25" x14ac:dyDescent="0.2">
      <c r="Y238" s="36">
        <v>233</v>
      </c>
    </row>
    <row r="239" spans="25:25" x14ac:dyDescent="0.2">
      <c r="Y239" s="36">
        <v>234</v>
      </c>
    </row>
    <row r="240" spans="25:25" x14ac:dyDescent="0.2">
      <c r="Y240" s="36">
        <v>235</v>
      </c>
    </row>
    <row r="241" spans="25:25" x14ac:dyDescent="0.2">
      <c r="Y241" s="36">
        <v>236</v>
      </c>
    </row>
    <row r="242" spans="25:25" x14ac:dyDescent="0.2">
      <c r="Y242" s="36">
        <v>237</v>
      </c>
    </row>
    <row r="243" spans="25:25" x14ac:dyDescent="0.2">
      <c r="Y243" s="36">
        <v>238</v>
      </c>
    </row>
    <row r="244" spans="25:25" x14ac:dyDescent="0.2">
      <c r="Y244" s="36">
        <v>239</v>
      </c>
    </row>
    <row r="245" spans="25:25" x14ac:dyDescent="0.2">
      <c r="Y245" s="36">
        <v>240</v>
      </c>
    </row>
    <row r="246" spans="25:25" x14ac:dyDescent="0.2">
      <c r="Y246" s="36">
        <v>241</v>
      </c>
    </row>
    <row r="247" spans="25:25" x14ac:dyDescent="0.2">
      <c r="Y247" s="36">
        <v>242</v>
      </c>
    </row>
    <row r="248" spans="25:25" x14ac:dyDescent="0.2">
      <c r="Y248" s="36">
        <v>243</v>
      </c>
    </row>
    <row r="249" spans="25:25" x14ac:dyDescent="0.2">
      <c r="Y249" s="36">
        <v>244</v>
      </c>
    </row>
    <row r="250" spans="25:25" x14ac:dyDescent="0.2">
      <c r="Y250" s="36">
        <v>245</v>
      </c>
    </row>
    <row r="251" spans="25:25" x14ac:dyDescent="0.2">
      <c r="Y251" s="36">
        <v>246</v>
      </c>
    </row>
    <row r="252" spans="25:25" x14ac:dyDescent="0.2">
      <c r="Y252" s="36">
        <v>247</v>
      </c>
    </row>
    <row r="253" spans="25:25" x14ac:dyDescent="0.2">
      <c r="Y253" s="36">
        <v>248</v>
      </c>
    </row>
    <row r="254" spans="25:25" x14ac:dyDescent="0.2">
      <c r="Y254" s="36">
        <v>249</v>
      </c>
    </row>
    <row r="255" spans="25:25" x14ac:dyDescent="0.2">
      <c r="Y255" s="36">
        <v>250</v>
      </c>
    </row>
    <row r="256" spans="25:25" x14ac:dyDescent="0.2">
      <c r="Y256" s="36">
        <v>251</v>
      </c>
    </row>
    <row r="257" spans="25:25" x14ac:dyDescent="0.2">
      <c r="Y257" s="36">
        <v>252</v>
      </c>
    </row>
    <row r="258" spans="25:25" x14ac:dyDescent="0.2">
      <c r="Y258" s="36">
        <v>253</v>
      </c>
    </row>
    <row r="259" spans="25:25" x14ac:dyDescent="0.2">
      <c r="Y259" s="36">
        <v>254</v>
      </c>
    </row>
    <row r="260" spans="25:25" x14ac:dyDescent="0.2">
      <c r="Y260" s="36">
        <v>255</v>
      </c>
    </row>
    <row r="261" spans="25:25" x14ac:dyDescent="0.2">
      <c r="Y261" s="36">
        <v>256</v>
      </c>
    </row>
    <row r="262" spans="25:25" x14ac:dyDescent="0.2">
      <c r="Y262" s="36">
        <v>257</v>
      </c>
    </row>
    <row r="263" spans="25:25" x14ac:dyDescent="0.2">
      <c r="Y263" s="36">
        <v>258</v>
      </c>
    </row>
    <row r="264" spans="25:25" x14ac:dyDescent="0.2">
      <c r="Y264" s="36">
        <v>259</v>
      </c>
    </row>
    <row r="265" spans="25:25" x14ac:dyDescent="0.2">
      <c r="Y265" s="36">
        <v>260</v>
      </c>
    </row>
    <row r="266" spans="25:25" x14ac:dyDescent="0.2">
      <c r="Y266" s="36">
        <v>261</v>
      </c>
    </row>
    <row r="267" spans="25:25" x14ac:dyDescent="0.2">
      <c r="Y267" s="36">
        <v>262</v>
      </c>
    </row>
    <row r="268" spans="25:25" x14ac:dyDescent="0.2">
      <c r="Y268" s="36">
        <v>263</v>
      </c>
    </row>
    <row r="269" spans="25:25" x14ac:dyDescent="0.2">
      <c r="Y269" s="36">
        <v>264</v>
      </c>
    </row>
    <row r="270" spans="25:25" x14ac:dyDescent="0.2">
      <c r="Y270" s="36">
        <v>265</v>
      </c>
    </row>
    <row r="271" spans="25:25" x14ac:dyDescent="0.2">
      <c r="Y271" s="36">
        <v>266</v>
      </c>
    </row>
    <row r="272" spans="25:25" x14ac:dyDescent="0.2">
      <c r="Y272" s="36">
        <v>267</v>
      </c>
    </row>
    <row r="273" spans="25:25" x14ac:dyDescent="0.2">
      <c r="Y273" s="36">
        <v>268</v>
      </c>
    </row>
    <row r="274" spans="25:25" x14ac:dyDescent="0.2">
      <c r="Y274" s="36">
        <v>269</v>
      </c>
    </row>
    <row r="275" spans="25:25" x14ac:dyDescent="0.2">
      <c r="Y275" s="36">
        <v>270</v>
      </c>
    </row>
    <row r="276" spans="25:25" x14ac:dyDescent="0.2">
      <c r="Y276" s="36">
        <v>271</v>
      </c>
    </row>
    <row r="277" spans="25:25" x14ac:dyDescent="0.2">
      <c r="Y277" s="36">
        <v>272</v>
      </c>
    </row>
    <row r="278" spans="25:25" x14ac:dyDescent="0.2">
      <c r="Y278" s="36">
        <v>273</v>
      </c>
    </row>
    <row r="279" spans="25:25" x14ac:dyDescent="0.2">
      <c r="Y279" s="36">
        <v>274</v>
      </c>
    </row>
    <row r="280" spans="25:25" x14ac:dyDescent="0.2">
      <c r="Y280" s="36">
        <v>275</v>
      </c>
    </row>
    <row r="281" spans="25:25" x14ac:dyDescent="0.2">
      <c r="Y281" s="36">
        <v>276</v>
      </c>
    </row>
    <row r="282" spans="25:25" x14ac:dyDescent="0.2">
      <c r="Y282" s="36">
        <v>277</v>
      </c>
    </row>
    <row r="283" spans="25:25" x14ac:dyDescent="0.2">
      <c r="Y283" s="36">
        <v>278</v>
      </c>
    </row>
    <row r="284" spans="25:25" x14ac:dyDescent="0.2">
      <c r="Y284" s="36">
        <v>279</v>
      </c>
    </row>
    <row r="285" spans="25:25" x14ac:dyDescent="0.2">
      <c r="Y285" s="36">
        <v>280</v>
      </c>
    </row>
    <row r="286" spans="25:25" x14ac:dyDescent="0.2">
      <c r="Y286" s="36">
        <v>281</v>
      </c>
    </row>
    <row r="287" spans="25:25" x14ac:dyDescent="0.2">
      <c r="Y287" s="36">
        <v>282</v>
      </c>
    </row>
    <row r="288" spans="25:25" x14ac:dyDescent="0.2">
      <c r="Y288" s="36">
        <v>283</v>
      </c>
    </row>
    <row r="289" spans="25:25" x14ac:dyDescent="0.2">
      <c r="Y289" s="36">
        <v>284</v>
      </c>
    </row>
    <row r="290" spans="25:25" x14ac:dyDescent="0.2">
      <c r="Y290" s="36">
        <v>285</v>
      </c>
    </row>
    <row r="291" spans="25:25" x14ac:dyDescent="0.2">
      <c r="Y291" s="36">
        <v>286</v>
      </c>
    </row>
    <row r="292" spans="25:25" x14ac:dyDescent="0.2">
      <c r="Y292" s="36">
        <v>287</v>
      </c>
    </row>
    <row r="293" spans="25:25" x14ac:dyDescent="0.2">
      <c r="Y293" s="36">
        <v>288</v>
      </c>
    </row>
    <row r="294" spans="25:25" x14ac:dyDescent="0.2">
      <c r="Y294" s="36">
        <v>289</v>
      </c>
    </row>
    <row r="295" spans="25:25" x14ac:dyDescent="0.2">
      <c r="Y295" s="36">
        <v>290</v>
      </c>
    </row>
    <row r="296" spans="25:25" x14ac:dyDescent="0.2">
      <c r="Y296" s="36">
        <v>291</v>
      </c>
    </row>
    <row r="297" spans="25:25" x14ac:dyDescent="0.2">
      <c r="Y297" s="36">
        <v>292</v>
      </c>
    </row>
    <row r="298" spans="25:25" x14ac:dyDescent="0.2">
      <c r="Y298" s="36">
        <v>293</v>
      </c>
    </row>
    <row r="299" spans="25:25" x14ac:dyDescent="0.2">
      <c r="Y299" s="36">
        <v>294</v>
      </c>
    </row>
    <row r="300" spans="25:25" x14ac:dyDescent="0.2">
      <c r="Y300" s="36">
        <v>295</v>
      </c>
    </row>
    <row r="301" spans="25:25" x14ac:dyDescent="0.2">
      <c r="Y301" s="36">
        <v>296</v>
      </c>
    </row>
    <row r="302" spans="25:25" x14ac:dyDescent="0.2">
      <c r="Y302" s="36">
        <v>297</v>
      </c>
    </row>
    <row r="303" spans="25:25" x14ac:dyDescent="0.2">
      <c r="Y303" s="36">
        <v>298</v>
      </c>
    </row>
    <row r="304" spans="25:25" x14ac:dyDescent="0.2">
      <c r="Y304" s="36">
        <v>299</v>
      </c>
    </row>
    <row r="305" spans="25:25" x14ac:dyDescent="0.2">
      <c r="Y305" s="36">
        <v>300</v>
      </c>
    </row>
    <row r="306" spans="25:25" x14ac:dyDescent="0.2">
      <c r="Y306" s="36">
        <v>301</v>
      </c>
    </row>
    <row r="307" spans="25:25" x14ac:dyDescent="0.2">
      <c r="Y307" s="36">
        <v>302</v>
      </c>
    </row>
    <row r="308" spans="25:25" x14ac:dyDescent="0.2">
      <c r="Y308" s="36">
        <v>303</v>
      </c>
    </row>
    <row r="309" spans="25:25" x14ac:dyDescent="0.2">
      <c r="Y309" s="36">
        <v>304</v>
      </c>
    </row>
    <row r="310" spans="25:25" x14ac:dyDescent="0.2">
      <c r="Y310" s="36">
        <v>305</v>
      </c>
    </row>
    <row r="311" spans="25:25" x14ac:dyDescent="0.2">
      <c r="Y311" s="36">
        <v>306</v>
      </c>
    </row>
    <row r="312" spans="25:25" x14ac:dyDescent="0.2">
      <c r="Y312" s="36">
        <v>307</v>
      </c>
    </row>
    <row r="313" spans="25:25" x14ac:dyDescent="0.2">
      <c r="Y313" s="36">
        <v>308</v>
      </c>
    </row>
    <row r="314" spans="25:25" x14ac:dyDescent="0.2">
      <c r="Y314" s="36">
        <v>309</v>
      </c>
    </row>
    <row r="315" spans="25:25" x14ac:dyDescent="0.2">
      <c r="Y315" s="36">
        <v>310</v>
      </c>
    </row>
    <row r="316" spans="25:25" x14ac:dyDescent="0.2">
      <c r="Y316" s="36">
        <v>311</v>
      </c>
    </row>
    <row r="317" spans="25:25" x14ac:dyDescent="0.2">
      <c r="Y317" s="36">
        <v>312</v>
      </c>
    </row>
    <row r="318" spans="25:25" x14ac:dyDescent="0.2">
      <c r="Y318" s="36">
        <v>313</v>
      </c>
    </row>
    <row r="319" spans="25:25" x14ac:dyDescent="0.2">
      <c r="Y319" s="36">
        <v>314</v>
      </c>
    </row>
    <row r="320" spans="25:25" x14ac:dyDescent="0.2">
      <c r="Y320" s="36">
        <v>315</v>
      </c>
    </row>
    <row r="321" spans="25:25" x14ac:dyDescent="0.2">
      <c r="Y321" s="36">
        <v>316</v>
      </c>
    </row>
    <row r="322" spans="25:25" x14ac:dyDescent="0.2">
      <c r="Y322" s="36">
        <v>317</v>
      </c>
    </row>
    <row r="323" spans="25:25" x14ac:dyDescent="0.2">
      <c r="Y323" s="36">
        <v>318</v>
      </c>
    </row>
    <row r="324" spans="25:25" x14ac:dyDescent="0.2">
      <c r="Y324" s="36">
        <v>319</v>
      </c>
    </row>
    <row r="325" spans="25:25" x14ac:dyDescent="0.2">
      <c r="Y325" s="36">
        <v>320</v>
      </c>
    </row>
    <row r="326" spans="25:25" x14ac:dyDescent="0.2">
      <c r="Y326" s="36">
        <v>321</v>
      </c>
    </row>
    <row r="327" spans="25:25" x14ac:dyDescent="0.2">
      <c r="Y327" s="36">
        <v>322</v>
      </c>
    </row>
    <row r="328" spans="25:25" x14ac:dyDescent="0.2">
      <c r="Y328" s="36">
        <v>323</v>
      </c>
    </row>
    <row r="329" spans="25:25" x14ac:dyDescent="0.2">
      <c r="Y329" s="36">
        <v>324</v>
      </c>
    </row>
    <row r="330" spans="25:25" x14ac:dyDescent="0.2">
      <c r="Y330" s="36">
        <v>325</v>
      </c>
    </row>
    <row r="331" spans="25:25" x14ac:dyDescent="0.2">
      <c r="Y331" s="36">
        <v>326</v>
      </c>
    </row>
    <row r="332" spans="25:25" x14ac:dyDescent="0.2">
      <c r="Y332" s="36">
        <v>327</v>
      </c>
    </row>
    <row r="333" spans="25:25" x14ac:dyDescent="0.2">
      <c r="Y333" s="36">
        <v>328</v>
      </c>
    </row>
    <row r="334" spans="25:25" x14ac:dyDescent="0.2">
      <c r="Y334" s="36">
        <v>329</v>
      </c>
    </row>
    <row r="335" spans="25:25" x14ac:dyDescent="0.2">
      <c r="Y335" s="36">
        <v>330</v>
      </c>
    </row>
    <row r="336" spans="25:25" x14ac:dyDescent="0.2">
      <c r="Y336" s="36">
        <v>331</v>
      </c>
    </row>
    <row r="337" spans="25:25" x14ac:dyDescent="0.2">
      <c r="Y337" s="36">
        <v>332</v>
      </c>
    </row>
    <row r="338" spans="25:25" x14ac:dyDescent="0.2">
      <c r="Y338" s="36">
        <v>333</v>
      </c>
    </row>
    <row r="339" spans="25:25" x14ac:dyDescent="0.2">
      <c r="Y339" s="36">
        <v>334</v>
      </c>
    </row>
    <row r="340" spans="25:25" x14ac:dyDescent="0.2">
      <c r="Y340" s="36">
        <v>335</v>
      </c>
    </row>
    <row r="341" spans="25:25" x14ac:dyDescent="0.2">
      <c r="Y341" s="36">
        <v>336</v>
      </c>
    </row>
    <row r="342" spans="25:25" x14ac:dyDescent="0.2">
      <c r="Y342" s="36">
        <v>337</v>
      </c>
    </row>
    <row r="343" spans="25:25" x14ac:dyDescent="0.2">
      <c r="Y343" s="36">
        <v>338</v>
      </c>
    </row>
    <row r="344" spans="25:25" x14ac:dyDescent="0.2">
      <c r="Y344" s="36">
        <v>339</v>
      </c>
    </row>
    <row r="345" spans="25:25" x14ac:dyDescent="0.2">
      <c r="Y345" s="36">
        <v>340</v>
      </c>
    </row>
    <row r="346" spans="25:25" x14ac:dyDescent="0.2">
      <c r="Y346" s="36">
        <v>341</v>
      </c>
    </row>
    <row r="347" spans="25:25" x14ac:dyDescent="0.2">
      <c r="Y347" s="36">
        <v>342</v>
      </c>
    </row>
    <row r="348" spans="25:25" x14ac:dyDescent="0.2">
      <c r="Y348" s="36">
        <v>343</v>
      </c>
    </row>
    <row r="349" spans="25:25" x14ac:dyDescent="0.2">
      <c r="Y349" s="36">
        <v>344</v>
      </c>
    </row>
    <row r="350" spans="25:25" x14ac:dyDescent="0.2">
      <c r="Y350" s="36">
        <v>345</v>
      </c>
    </row>
    <row r="351" spans="25:25" x14ac:dyDescent="0.2">
      <c r="Y351" s="36">
        <v>346</v>
      </c>
    </row>
    <row r="352" spans="25:25" x14ac:dyDescent="0.2">
      <c r="Y352" s="36">
        <v>347</v>
      </c>
    </row>
    <row r="353" spans="25:25" x14ac:dyDescent="0.2">
      <c r="Y353" s="36">
        <v>348</v>
      </c>
    </row>
    <row r="354" spans="25:25" x14ac:dyDescent="0.2">
      <c r="Y354" s="36">
        <v>349</v>
      </c>
    </row>
    <row r="355" spans="25:25" x14ac:dyDescent="0.2">
      <c r="Y355" s="36">
        <v>350</v>
      </c>
    </row>
    <row r="356" spans="25:25" x14ac:dyDescent="0.2">
      <c r="Y356" s="36">
        <v>351</v>
      </c>
    </row>
    <row r="357" spans="25:25" x14ac:dyDescent="0.2">
      <c r="Y357" s="36">
        <v>352</v>
      </c>
    </row>
    <row r="358" spans="25:25" x14ac:dyDescent="0.2">
      <c r="Y358" s="36">
        <v>353</v>
      </c>
    </row>
    <row r="359" spans="25:25" x14ac:dyDescent="0.2">
      <c r="Y359" s="36">
        <v>354</v>
      </c>
    </row>
    <row r="360" spans="25:25" x14ac:dyDescent="0.2">
      <c r="Y360" s="36">
        <v>355</v>
      </c>
    </row>
    <row r="361" spans="25:25" x14ac:dyDescent="0.2">
      <c r="Y361" s="36">
        <v>356</v>
      </c>
    </row>
    <row r="362" spans="25:25" x14ac:dyDescent="0.2">
      <c r="Y362" s="36">
        <v>357</v>
      </c>
    </row>
    <row r="363" spans="25:25" x14ac:dyDescent="0.2">
      <c r="Y363" s="36">
        <v>358</v>
      </c>
    </row>
    <row r="364" spans="25:25" x14ac:dyDescent="0.2">
      <c r="Y364" s="36">
        <v>359</v>
      </c>
    </row>
    <row r="365" spans="25:25" x14ac:dyDescent="0.2">
      <c r="Y365" s="36">
        <v>360</v>
      </c>
    </row>
    <row r="366" spans="25:25" x14ac:dyDescent="0.2">
      <c r="Y366" s="36">
        <v>361</v>
      </c>
    </row>
    <row r="367" spans="25:25" x14ac:dyDescent="0.2">
      <c r="Y367" s="36">
        <v>362</v>
      </c>
    </row>
    <row r="368" spans="25:25" x14ac:dyDescent="0.2">
      <c r="Y368" s="36">
        <v>363</v>
      </c>
    </row>
    <row r="369" spans="25:25" x14ac:dyDescent="0.2">
      <c r="Y369" s="36">
        <v>364</v>
      </c>
    </row>
    <row r="370" spans="25:25" x14ac:dyDescent="0.2">
      <c r="Y370" s="36">
        <v>365</v>
      </c>
    </row>
    <row r="371" spans="25:25" x14ac:dyDescent="0.2">
      <c r="Y371" s="36">
        <v>366</v>
      </c>
    </row>
    <row r="372" spans="25:25" x14ac:dyDescent="0.2">
      <c r="Y372" s="36">
        <v>367</v>
      </c>
    </row>
    <row r="373" spans="25:25" x14ac:dyDescent="0.2">
      <c r="Y373" s="36">
        <v>368</v>
      </c>
    </row>
    <row r="374" spans="25:25" x14ac:dyDescent="0.2">
      <c r="Y374" s="36">
        <v>369</v>
      </c>
    </row>
    <row r="375" spans="25:25" x14ac:dyDescent="0.2">
      <c r="Y375" s="36">
        <v>370</v>
      </c>
    </row>
    <row r="376" spans="25:25" x14ac:dyDescent="0.2">
      <c r="Y376" s="36">
        <v>371</v>
      </c>
    </row>
    <row r="377" spans="25:25" x14ac:dyDescent="0.2">
      <c r="Y377" s="36">
        <v>372</v>
      </c>
    </row>
    <row r="378" spans="25:25" x14ac:dyDescent="0.2">
      <c r="Y378" s="36">
        <v>373</v>
      </c>
    </row>
    <row r="379" spans="25:25" x14ac:dyDescent="0.2">
      <c r="Y379" s="36">
        <v>374</v>
      </c>
    </row>
    <row r="380" spans="25:25" x14ac:dyDescent="0.2">
      <c r="Y380" s="36">
        <v>375</v>
      </c>
    </row>
    <row r="381" spans="25:25" x14ac:dyDescent="0.2">
      <c r="Y381" s="36">
        <v>376</v>
      </c>
    </row>
    <row r="382" spans="25:25" x14ac:dyDescent="0.2">
      <c r="Y382" s="36">
        <v>377</v>
      </c>
    </row>
    <row r="383" spans="25:25" x14ac:dyDescent="0.2">
      <c r="Y383" s="36">
        <v>378</v>
      </c>
    </row>
    <row r="384" spans="25:25" x14ac:dyDescent="0.2">
      <c r="Y384" s="36">
        <v>379</v>
      </c>
    </row>
    <row r="385" spans="25:25" x14ac:dyDescent="0.2">
      <c r="Y385" s="36">
        <v>380</v>
      </c>
    </row>
    <row r="386" spans="25:25" x14ac:dyDescent="0.2">
      <c r="Y386" s="36">
        <v>381</v>
      </c>
    </row>
    <row r="387" spans="25:25" x14ac:dyDescent="0.2">
      <c r="Y387" s="36">
        <v>382</v>
      </c>
    </row>
    <row r="388" spans="25:25" x14ac:dyDescent="0.2">
      <c r="Y388" s="36">
        <v>383</v>
      </c>
    </row>
    <row r="389" spans="25:25" x14ac:dyDescent="0.2">
      <c r="Y389" s="36">
        <v>384</v>
      </c>
    </row>
    <row r="390" spans="25:25" x14ac:dyDescent="0.2">
      <c r="Y390" s="36">
        <v>385</v>
      </c>
    </row>
    <row r="391" spans="25:25" x14ac:dyDescent="0.2">
      <c r="Y391" s="36">
        <v>386</v>
      </c>
    </row>
    <row r="392" spans="25:25" x14ac:dyDescent="0.2">
      <c r="Y392" s="36">
        <v>387</v>
      </c>
    </row>
    <row r="393" spans="25:25" x14ac:dyDescent="0.2">
      <c r="Y393" s="36">
        <v>388</v>
      </c>
    </row>
    <row r="394" spans="25:25" x14ac:dyDescent="0.2">
      <c r="Y394" s="36">
        <v>389</v>
      </c>
    </row>
    <row r="395" spans="25:25" x14ac:dyDescent="0.2">
      <c r="Y395" s="36">
        <v>390</v>
      </c>
    </row>
    <row r="396" spans="25:25" x14ac:dyDescent="0.2">
      <c r="Y396" s="36">
        <v>391</v>
      </c>
    </row>
    <row r="397" spans="25:25" x14ac:dyDescent="0.2">
      <c r="Y397" s="36">
        <v>392</v>
      </c>
    </row>
    <row r="398" spans="25:25" x14ac:dyDescent="0.2">
      <c r="Y398" s="36">
        <v>393</v>
      </c>
    </row>
    <row r="399" spans="25:25" x14ac:dyDescent="0.2">
      <c r="Y399" s="36">
        <v>394</v>
      </c>
    </row>
    <row r="400" spans="25:25" x14ac:dyDescent="0.2">
      <c r="Y400" s="36">
        <v>395</v>
      </c>
    </row>
    <row r="401" spans="25:25" x14ac:dyDescent="0.2">
      <c r="Y401" s="36">
        <v>396</v>
      </c>
    </row>
    <row r="402" spans="25:25" x14ac:dyDescent="0.2">
      <c r="Y402" s="36">
        <v>397</v>
      </c>
    </row>
    <row r="403" spans="25:25" x14ac:dyDescent="0.2">
      <c r="Y403" s="36">
        <v>398</v>
      </c>
    </row>
    <row r="404" spans="25:25" x14ac:dyDescent="0.2">
      <c r="Y404" s="36">
        <v>399</v>
      </c>
    </row>
    <row r="405" spans="25:25" x14ac:dyDescent="0.2">
      <c r="Y405" s="36">
        <v>400</v>
      </c>
    </row>
    <row r="406" spans="25:25" x14ac:dyDescent="0.2">
      <c r="Y406" s="36">
        <v>401</v>
      </c>
    </row>
    <row r="407" spans="25:25" x14ac:dyDescent="0.2">
      <c r="Y407" s="36">
        <v>402</v>
      </c>
    </row>
    <row r="408" spans="25:25" x14ac:dyDescent="0.2">
      <c r="Y408" s="36">
        <v>403</v>
      </c>
    </row>
    <row r="409" spans="25:25" x14ac:dyDescent="0.2">
      <c r="Y409" s="36">
        <v>404</v>
      </c>
    </row>
    <row r="410" spans="25:25" x14ac:dyDescent="0.2">
      <c r="Y410" s="36">
        <v>405</v>
      </c>
    </row>
    <row r="411" spans="25:25" x14ac:dyDescent="0.2">
      <c r="Y411" s="36">
        <v>406</v>
      </c>
    </row>
    <row r="412" spans="25:25" x14ac:dyDescent="0.2">
      <c r="Y412" s="36">
        <v>407</v>
      </c>
    </row>
    <row r="413" spans="25:25" x14ac:dyDescent="0.2">
      <c r="Y413" s="36">
        <v>408</v>
      </c>
    </row>
    <row r="414" spans="25:25" x14ac:dyDescent="0.2">
      <c r="Y414" s="36">
        <v>409</v>
      </c>
    </row>
    <row r="415" spans="25:25" x14ac:dyDescent="0.2">
      <c r="Y415" s="36">
        <v>410</v>
      </c>
    </row>
    <row r="416" spans="25:25" x14ac:dyDescent="0.2">
      <c r="Y416" s="36">
        <v>411</v>
      </c>
    </row>
    <row r="417" spans="25:25" x14ac:dyDescent="0.2">
      <c r="Y417" s="36">
        <v>412</v>
      </c>
    </row>
    <row r="418" spans="25:25" x14ac:dyDescent="0.2">
      <c r="Y418" s="36">
        <v>413</v>
      </c>
    </row>
    <row r="419" spans="25:25" x14ac:dyDescent="0.2">
      <c r="Y419" s="36">
        <v>414</v>
      </c>
    </row>
    <row r="420" spans="25:25" x14ac:dyDescent="0.2">
      <c r="Y420" s="36">
        <v>415</v>
      </c>
    </row>
    <row r="421" spans="25:25" x14ac:dyDescent="0.2">
      <c r="Y421" s="36">
        <v>416</v>
      </c>
    </row>
    <row r="422" spans="25:25" x14ac:dyDescent="0.2">
      <c r="Y422" s="36">
        <v>417</v>
      </c>
    </row>
    <row r="423" spans="25:25" x14ac:dyDescent="0.2">
      <c r="Y423" s="36">
        <v>418</v>
      </c>
    </row>
    <row r="424" spans="25:25" x14ac:dyDescent="0.2">
      <c r="Y424" s="36">
        <v>419</v>
      </c>
    </row>
    <row r="425" spans="25:25" x14ac:dyDescent="0.2">
      <c r="Y425" s="36">
        <v>420</v>
      </c>
    </row>
    <row r="426" spans="25:25" x14ac:dyDescent="0.2">
      <c r="Y426" s="36">
        <v>421</v>
      </c>
    </row>
    <row r="427" spans="25:25" x14ac:dyDescent="0.2">
      <c r="Y427" s="36">
        <v>422</v>
      </c>
    </row>
    <row r="428" spans="25:25" x14ac:dyDescent="0.2">
      <c r="Y428" s="36">
        <v>423</v>
      </c>
    </row>
    <row r="429" spans="25:25" x14ac:dyDescent="0.2">
      <c r="Y429" s="36">
        <v>424</v>
      </c>
    </row>
    <row r="430" spans="25:25" x14ac:dyDescent="0.2">
      <c r="Y430" s="36">
        <v>425</v>
      </c>
    </row>
    <row r="431" spans="25:25" x14ac:dyDescent="0.2">
      <c r="Y431" s="36">
        <v>426</v>
      </c>
    </row>
    <row r="432" spans="25:25" x14ac:dyDescent="0.2">
      <c r="Y432" s="36">
        <v>427</v>
      </c>
    </row>
    <row r="433" spans="25:25" x14ac:dyDescent="0.2">
      <c r="Y433" s="36">
        <v>428</v>
      </c>
    </row>
    <row r="434" spans="25:25" x14ac:dyDescent="0.2">
      <c r="Y434" s="36">
        <v>429</v>
      </c>
    </row>
    <row r="435" spans="25:25" x14ac:dyDescent="0.2">
      <c r="Y435" s="36">
        <v>430</v>
      </c>
    </row>
    <row r="436" spans="25:25" x14ac:dyDescent="0.2">
      <c r="Y436" s="36">
        <v>431</v>
      </c>
    </row>
    <row r="437" spans="25:25" x14ac:dyDescent="0.2">
      <c r="Y437" s="36">
        <v>432</v>
      </c>
    </row>
    <row r="438" spans="25:25" x14ac:dyDescent="0.2">
      <c r="Y438" s="36">
        <v>433</v>
      </c>
    </row>
    <row r="439" spans="25:25" x14ac:dyDescent="0.2">
      <c r="Y439" s="36">
        <v>434</v>
      </c>
    </row>
    <row r="440" spans="25:25" x14ac:dyDescent="0.2">
      <c r="Y440" s="36">
        <v>435</v>
      </c>
    </row>
    <row r="441" spans="25:25" x14ac:dyDescent="0.2">
      <c r="Y441" s="36">
        <v>436</v>
      </c>
    </row>
    <row r="442" spans="25:25" x14ac:dyDescent="0.2">
      <c r="Y442" s="36">
        <v>437</v>
      </c>
    </row>
    <row r="443" spans="25:25" x14ac:dyDescent="0.2">
      <c r="Y443" s="36">
        <v>438</v>
      </c>
    </row>
    <row r="444" spans="25:25" x14ac:dyDescent="0.2">
      <c r="Y444" s="36">
        <v>439</v>
      </c>
    </row>
    <row r="445" spans="25:25" x14ac:dyDescent="0.2">
      <c r="Y445" s="36">
        <v>440</v>
      </c>
    </row>
    <row r="446" spans="25:25" x14ac:dyDescent="0.2">
      <c r="Y446" s="36">
        <v>441</v>
      </c>
    </row>
    <row r="447" spans="25:25" x14ac:dyDescent="0.2">
      <c r="Y447" s="36">
        <v>442</v>
      </c>
    </row>
    <row r="448" spans="25:25" x14ac:dyDescent="0.2">
      <c r="Y448" s="36">
        <v>443</v>
      </c>
    </row>
    <row r="449" spans="25:25" x14ac:dyDescent="0.2">
      <c r="Y449" s="36">
        <v>444</v>
      </c>
    </row>
    <row r="450" spans="25:25" x14ac:dyDescent="0.2">
      <c r="Y450" s="36">
        <v>445</v>
      </c>
    </row>
    <row r="451" spans="25:25" x14ac:dyDescent="0.2">
      <c r="Y451" s="36">
        <v>446</v>
      </c>
    </row>
    <row r="452" spans="25:25" x14ac:dyDescent="0.2">
      <c r="Y452" s="36">
        <v>447</v>
      </c>
    </row>
    <row r="453" spans="25:25" x14ac:dyDescent="0.2">
      <c r="Y453" s="36">
        <v>448</v>
      </c>
    </row>
    <row r="454" spans="25:25" x14ac:dyDescent="0.2">
      <c r="Y454" s="36">
        <v>449</v>
      </c>
    </row>
    <row r="455" spans="25:25" x14ac:dyDescent="0.2">
      <c r="Y455" s="36">
        <v>450</v>
      </c>
    </row>
    <row r="456" spans="25:25" x14ac:dyDescent="0.2">
      <c r="Y456" s="36">
        <v>451</v>
      </c>
    </row>
    <row r="457" spans="25:25" x14ac:dyDescent="0.2">
      <c r="Y457" s="36">
        <v>452</v>
      </c>
    </row>
    <row r="458" spans="25:25" x14ac:dyDescent="0.2">
      <c r="Y458" s="36">
        <v>453</v>
      </c>
    </row>
    <row r="459" spans="25:25" x14ac:dyDescent="0.2">
      <c r="Y459" s="36">
        <v>454</v>
      </c>
    </row>
    <row r="460" spans="25:25" x14ac:dyDescent="0.2">
      <c r="Y460" s="36">
        <v>455</v>
      </c>
    </row>
    <row r="461" spans="25:25" x14ac:dyDescent="0.2">
      <c r="Y461" s="36">
        <v>456</v>
      </c>
    </row>
    <row r="462" spans="25:25" x14ac:dyDescent="0.2">
      <c r="Y462" s="36">
        <v>457</v>
      </c>
    </row>
    <row r="463" spans="25:25" x14ac:dyDescent="0.2">
      <c r="Y463" s="36">
        <v>458</v>
      </c>
    </row>
    <row r="464" spans="25:25" x14ac:dyDescent="0.2">
      <c r="Y464" s="36">
        <v>459</v>
      </c>
    </row>
    <row r="465" spans="25:25" x14ac:dyDescent="0.2">
      <c r="Y465" s="36">
        <v>460</v>
      </c>
    </row>
    <row r="466" spans="25:25" x14ac:dyDescent="0.2">
      <c r="Y466" s="36">
        <v>461</v>
      </c>
    </row>
    <row r="467" spans="25:25" x14ac:dyDescent="0.2">
      <c r="Y467" s="36">
        <v>462</v>
      </c>
    </row>
    <row r="468" spans="25:25" x14ac:dyDescent="0.2">
      <c r="Y468" s="36">
        <v>463</v>
      </c>
    </row>
    <row r="469" spans="25:25" x14ac:dyDescent="0.2">
      <c r="Y469" s="36">
        <v>464</v>
      </c>
    </row>
    <row r="470" spans="25:25" x14ac:dyDescent="0.2">
      <c r="Y470" s="36">
        <v>465</v>
      </c>
    </row>
    <row r="471" spans="25:25" x14ac:dyDescent="0.2">
      <c r="Y471" s="36">
        <v>466</v>
      </c>
    </row>
    <row r="472" spans="25:25" x14ac:dyDescent="0.2">
      <c r="Y472" s="36">
        <v>467</v>
      </c>
    </row>
    <row r="473" spans="25:25" x14ac:dyDescent="0.2">
      <c r="Y473" s="36">
        <v>468</v>
      </c>
    </row>
    <row r="474" spans="25:25" x14ac:dyDescent="0.2">
      <c r="Y474" s="36">
        <v>469</v>
      </c>
    </row>
    <row r="475" spans="25:25" x14ac:dyDescent="0.2">
      <c r="Y475" s="36">
        <v>470</v>
      </c>
    </row>
    <row r="476" spans="25:25" x14ac:dyDescent="0.2">
      <c r="Y476" s="36">
        <v>471</v>
      </c>
    </row>
    <row r="477" spans="25:25" x14ac:dyDescent="0.2">
      <c r="Y477" s="36">
        <v>472</v>
      </c>
    </row>
    <row r="478" spans="25:25" x14ac:dyDescent="0.2">
      <c r="Y478" s="36">
        <v>473</v>
      </c>
    </row>
    <row r="479" spans="25:25" x14ac:dyDescent="0.2">
      <c r="Y479" s="36">
        <v>474</v>
      </c>
    </row>
    <row r="480" spans="25:25" x14ac:dyDescent="0.2">
      <c r="Y480" s="36">
        <v>475</v>
      </c>
    </row>
    <row r="481" spans="25:25" x14ac:dyDescent="0.2">
      <c r="Y481" s="36">
        <v>476</v>
      </c>
    </row>
    <row r="482" spans="25:25" x14ac:dyDescent="0.2">
      <c r="Y482" s="36">
        <v>477</v>
      </c>
    </row>
    <row r="483" spans="25:25" x14ac:dyDescent="0.2">
      <c r="Y483" s="36">
        <v>478</v>
      </c>
    </row>
    <row r="484" spans="25:25" x14ac:dyDescent="0.2">
      <c r="Y484" s="36">
        <v>479</v>
      </c>
    </row>
    <row r="485" spans="25:25" x14ac:dyDescent="0.2">
      <c r="Y485" s="36">
        <v>480</v>
      </c>
    </row>
    <row r="486" spans="25:25" x14ac:dyDescent="0.2">
      <c r="Y486" s="36">
        <v>481</v>
      </c>
    </row>
    <row r="487" spans="25:25" x14ac:dyDescent="0.2">
      <c r="Y487" s="36">
        <v>482</v>
      </c>
    </row>
    <row r="488" spans="25:25" x14ac:dyDescent="0.2">
      <c r="Y488" s="36">
        <v>483</v>
      </c>
    </row>
    <row r="489" spans="25:25" x14ac:dyDescent="0.2">
      <c r="Y489" s="36">
        <v>484</v>
      </c>
    </row>
    <row r="490" spans="25:25" x14ac:dyDescent="0.2">
      <c r="Y490" s="36">
        <v>485</v>
      </c>
    </row>
    <row r="491" spans="25:25" x14ac:dyDescent="0.2">
      <c r="Y491" s="36">
        <v>486</v>
      </c>
    </row>
    <row r="492" spans="25:25" x14ac:dyDescent="0.2">
      <c r="Y492" s="36">
        <v>487</v>
      </c>
    </row>
    <row r="493" spans="25:25" x14ac:dyDescent="0.2">
      <c r="Y493" s="36">
        <v>488</v>
      </c>
    </row>
    <row r="494" spans="25:25" x14ac:dyDescent="0.2">
      <c r="Y494" s="36">
        <v>489</v>
      </c>
    </row>
    <row r="495" spans="25:25" x14ac:dyDescent="0.2">
      <c r="Y495" s="36">
        <v>490</v>
      </c>
    </row>
    <row r="496" spans="25:25" x14ac:dyDescent="0.2">
      <c r="Y496" s="36">
        <v>491</v>
      </c>
    </row>
    <row r="497" spans="25:25" x14ac:dyDescent="0.2">
      <c r="Y497" s="36">
        <v>492</v>
      </c>
    </row>
    <row r="498" spans="25:25" x14ac:dyDescent="0.2">
      <c r="Y498" s="36">
        <v>493</v>
      </c>
    </row>
    <row r="499" spans="25:25" x14ac:dyDescent="0.2">
      <c r="Y499" s="36">
        <v>494</v>
      </c>
    </row>
    <row r="500" spans="25:25" x14ac:dyDescent="0.2">
      <c r="Y500" s="36">
        <v>495</v>
      </c>
    </row>
    <row r="501" spans="25:25" x14ac:dyDescent="0.2">
      <c r="Y501" s="36">
        <v>496</v>
      </c>
    </row>
    <row r="502" spans="25:25" x14ac:dyDescent="0.2">
      <c r="Y502" s="36">
        <v>497</v>
      </c>
    </row>
    <row r="503" spans="25:25" x14ac:dyDescent="0.2">
      <c r="Y503" s="36">
        <v>498</v>
      </c>
    </row>
    <row r="504" spans="25:25" x14ac:dyDescent="0.2">
      <c r="Y504" s="36">
        <v>499</v>
      </c>
    </row>
    <row r="505" spans="25:25" x14ac:dyDescent="0.2">
      <c r="Y505" s="36">
        <v>500</v>
      </c>
    </row>
    <row r="506" spans="25:25" x14ac:dyDescent="0.2">
      <c r="Y506" s="36">
        <v>501</v>
      </c>
    </row>
    <row r="507" spans="25:25" x14ac:dyDescent="0.2">
      <c r="Y507" s="36">
        <v>502</v>
      </c>
    </row>
    <row r="508" spans="25:25" x14ac:dyDescent="0.2">
      <c r="Y508" s="36">
        <v>503</v>
      </c>
    </row>
    <row r="509" spans="25:25" x14ac:dyDescent="0.2">
      <c r="Y509" s="36">
        <v>504</v>
      </c>
    </row>
    <row r="510" spans="25:25" x14ac:dyDescent="0.2">
      <c r="Y510" s="36">
        <v>505</v>
      </c>
    </row>
    <row r="511" spans="25:25" x14ac:dyDescent="0.2">
      <c r="Y511" s="36">
        <v>506</v>
      </c>
    </row>
    <row r="512" spans="25:25" x14ac:dyDescent="0.2">
      <c r="Y512" s="36">
        <v>507</v>
      </c>
    </row>
    <row r="513" spans="25:25" x14ac:dyDescent="0.2">
      <c r="Y513" s="36">
        <v>508</v>
      </c>
    </row>
    <row r="514" spans="25:25" x14ac:dyDescent="0.2">
      <c r="Y514" s="36">
        <v>509</v>
      </c>
    </row>
    <row r="515" spans="25:25" x14ac:dyDescent="0.2">
      <c r="Y515" s="36">
        <v>510</v>
      </c>
    </row>
    <row r="516" spans="25:25" x14ac:dyDescent="0.2">
      <c r="Y516" s="36">
        <v>511</v>
      </c>
    </row>
    <row r="517" spans="25:25" x14ac:dyDescent="0.2">
      <c r="Y517" s="36">
        <v>512</v>
      </c>
    </row>
    <row r="518" spans="25:25" x14ac:dyDescent="0.2">
      <c r="Y518" s="36">
        <v>513</v>
      </c>
    </row>
    <row r="519" spans="25:25" x14ac:dyDescent="0.2">
      <c r="Y519" s="36">
        <v>514</v>
      </c>
    </row>
    <row r="520" spans="25:25" x14ac:dyDescent="0.2">
      <c r="Y520" s="36">
        <v>515</v>
      </c>
    </row>
    <row r="521" spans="25:25" x14ac:dyDescent="0.2">
      <c r="Y521" s="36">
        <v>516</v>
      </c>
    </row>
    <row r="522" spans="25:25" x14ac:dyDescent="0.2">
      <c r="Y522" s="36">
        <v>517</v>
      </c>
    </row>
    <row r="523" spans="25:25" x14ac:dyDescent="0.2">
      <c r="Y523" s="36">
        <v>518</v>
      </c>
    </row>
    <row r="524" spans="25:25" x14ac:dyDescent="0.2">
      <c r="Y524" s="36">
        <v>519</v>
      </c>
    </row>
    <row r="525" spans="25:25" x14ac:dyDescent="0.2">
      <c r="Y525" s="36">
        <v>520</v>
      </c>
    </row>
    <row r="526" spans="25:25" x14ac:dyDescent="0.2">
      <c r="Y526" s="36">
        <v>521</v>
      </c>
    </row>
    <row r="527" spans="25:25" x14ac:dyDescent="0.2">
      <c r="Y527" s="36">
        <v>522</v>
      </c>
    </row>
    <row r="528" spans="25:25" x14ac:dyDescent="0.2">
      <c r="Y528" s="36">
        <v>523</v>
      </c>
    </row>
    <row r="529" spans="25:25" x14ac:dyDescent="0.2">
      <c r="Y529" s="36">
        <v>524</v>
      </c>
    </row>
    <row r="530" spans="25:25" x14ac:dyDescent="0.2">
      <c r="Y530" s="36">
        <v>525</v>
      </c>
    </row>
    <row r="531" spans="25:25" x14ac:dyDescent="0.2">
      <c r="Y531" s="36">
        <v>526</v>
      </c>
    </row>
    <row r="532" spans="25:25" x14ac:dyDescent="0.2">
      <c r="Y532" s="36">
        <v>527</v>
      </c>
    </row>
    <row r="533" spans="25:25" x14ac:dyDescent="0.2">
      <c r="Y533" s="36">
        <v>528</v>
      </c>
    </row>
    <row r="534" spans="25:25" x14ac:dyDescent="0.2">
      <c r="Y534" s="36">
        <v>529</v>
      </c>
    </row>
    <row r="535" spans="25:25" x14ac:dyDescent="0.2">
      <c r="Y535" s="36">
        <v>530</v>
      </c>
    </row>
    <row r="536" spans="25:25" x14ac:dyDescent="0.2">
      <c r="Y536" s="36">
        <v>531</v>
      </c>
    </row>
    <row r="537" spans="25:25" x14ac:dyDescent="0.2">
      <c r="Y537" s="36">
        <v>532</v>
      </c>
    </row>
    <row r="538" spans="25:25" x14ac:dyDescent="0.2">
      <c r="Y538" s="36">
        <v>533</v>
      </c>
    </row>
    <row r="539" spans="25:25" x14ac:dyDescent="0.2">
      <c r="Y539" s="36">
        <v>534</v>
      </c>
    </row>
    <row r="540" spans="25:25" x14ac:dyDescent="0.2">
      <c r="Y540" s="36">
        <v>535</v>
      </c>
    </row>
    <row r="541" spans="25:25" x14ac:dyDescent="0.2">
      <c r="Y541" s="36">
        <v>536</v>
      </c>
    </row>
    <row r="542" spans="25:25" x14ac:dyDescent="0.2">
      <c r="Y542" s="36">
        <v>537</v>
      </c>
    </row>
    <row r="543" spans="25:25" x14ac:dyDescent="0.2">
      <c r="Y543" s="36">
        <v>538</v>
      </c>
    </row>
    <row r="544" spans="25:25" x14ac:dyDescent="0.2">
      <c r="Y544" s="36">
        <v>539</v>
      </c>
    </row>
    <row r="545" spans="25:25" x14ac:dyDescent="0.2">
      <c r="Y545" s="36">
        <v>540</v>
      </c>
    </row>
    <row r="546" spans="25:25" x14ac:dyDescent="0.2">
      <c r="Y546" s="36">
        <v>541</v>
      </c>
    </row>
    <row r="547" spans="25:25" x14ac:dyDescent="0.2">
      <c r="Y547" s="36">
        <v>542</v>
      </c>
    </row>
    <row r="548" spans="25:25" x14ac:dyDescent="0.2">
      <c r="Y548" s="36">
        <v>543</v>
      </c>
    </row>
    <row r="549" spans="25:25" x14ac:dyDescent="0.2">
      <c r="Y549" s="36">
        <v>544</v>
      </c>
    </row>
    <row r="550" spans="25:25" x14ac:dyDescent="0.2">
      <c r="Y550" s="36">
        <v>545</v>
      </c>
    </row>
    <row r="551" spans="25:25" x14ac:dyDescent="0.2">
      <c r="Y551" s="36">
        <v>546</v>
      </c>
    </row>
    <row r="552" spans="25:25" x14ac:dyDescent="0.2">
      <c r="Y552" s="36">
        <v>547</v>
      </c>
    </row>
    <row r="553" spans="25:25" x14ac:dyDescent="0.2">
      <c r="Y553" s="36">
        <v>548</v>
      </c>
    </row>
    <row r="554" spans="25:25" x14ac:dyDescent="0.2">
      <c r="Y554" s="36">
        <v>549</v>
      </c>
    </row>
    <row r="555" spans="25:25" x14ac:dyDescent="0.2">
      <c r="Y555" s="36">
        <v>550</v>
      </c>
    </row>
    <row r="556" spans="25:25" x14ac:dyDescent="0.2">
      <c r="Y556" s="36">
        <v>551</v>
      </c>
    </row>
    <row r="557" spans="25:25" x14ac:dyDescent="0.2">
      <c r="Y557" s="36">
        <v>552</v>
      </c>
    </row>
    <row r="558" spans="25:25" x14ac:dyDescent="0.2">
      <c r="Y558" s="36">
        <v>553</v>
      </c>
    </row>
    <row r="559" spans="25:25" x14ac:dyDescent="0.2">
      <c r="Y559" s="36">
        <v>554</v>
      </c>
    </row>
    <row r="560" spans="25:25" x14ac:dyDescent="0.2">
      <c r="Y560" s="36">
        <v>555</v>
      </c>
    </row>
    <row r="561" spans="25:25" x14ac:dyDescent="0.2">
      <c r="Y561" s="36">
        <v>556</v>
      </c>
    </row>
    <row r="562" spans="25:25" x14ac:dyDescent="0.2">
      <c r="Y562" s="36">
        <v>557</v>
      </c>
    </row>
    <row r="563" spans="25:25" x14ac:dyDescent="0.2">
      <c r="Y563" s="36">
        <v>558</v>
      </c>
    </row>
    <row r="564" spans="25:25" x14ac:dyDescent="0.2">
      <c r="Y564" s="36">
        <v>559</v>
      </c>
    </row>
    <row r="565" spans="25:25" x14ac:dyDescent="0.2">
      <c r="Y565" s="36">
        <v>560</v>
      </c>
    </row>
    <row r="566" spans="25:25" x14ac:dyDescent="0.2">
      <c r="Y566" s="36">
        <v>561</v>
      </c>
    </row>
    <row r="567" spans="25:25" x14ac:dyDescent="0.2">
      <c r="Y567" s="36">
        <v>562</v>
      </c>
    </row>
    <row r="568" spans="25:25" x14ac:dyDescent="0.2">
      <c r="Y568" s="36">
        <v>563</v>
      </c>
    </row>
    <row r="569" spans="25:25" x14ac:dyDescent="0.2">
      <c r="Y569" s="36">
        <v>564</v>
      </c>
    </row>
    <row r="570" spans="25:25" x14ac:dyDescent="0.2">
      <c r="Y570" s="36">
        <v>565</v>
      </c>
    </row>
    <row r="571" spans="25:25" x14ac:dyDescent="0.2">
      <c r="Y571" s="36">
        <v>566</v>
      </c>
    </row>
    <row r="572" spans="25:25" x14ac:dyDescent="0.2">
      <c r="Y572" s="36">
        <v>567</v>
      </c>
    </row>
    <row r="573" spans="25:25" x14ac:dyDescent="0.2">
      <c r="Y573" s="36">
        <v>568</v>
      </c>
    </row>
    <row r="574" spans="25:25" x14ac:dyDescent="0.2">
      <c r="Y574" s="36">
        <v>569</v>
      </c>
    </row>
    <row r="575" spans="25:25" x14ac:dyDescent="0.2">
      <c r="Y575" s="36">
        <v>570</v>
      </c>
    </row>
    <row r="576" spans="25:25" x14ac:dyDescent="0.2">
      <c r="Y576" s="36">
        <v>571</v>
      </c>
    </row>
    <row r="577" spans="25:25" x14ac:dyDescent="0.2">
      <c r="Y577" s="36">
        <v>572</v>
      </c>
    </row>
    <row r="578" spans="25:25" x14ac:dyDescent="0.2">
      <c r="Y578" s="36">
        <v>573</v>
      </c>
    </row>
    <row r="579" spans="25:25" x14ac:dyDescent="0.2">
      <c r="Y579" s="36">
        <v>574</v>
      </c>
    </row>
    <row r="580" spans="25:25" x14ac:dyDescent="0.2">
      <c r="Y580" s="36">
        <v>575</v>
      </c>
    </row>
    <row r="581" spans="25:25" x14ac:dyDescent="0.2">
      <c r="Y581" s="36">
        <v>576</v>
      </c>
    </row>
    <row r="582" spans="25:25" x14ac:dyDescent="0.2">
      <c r="Y582" s="36">
        <v>577</v>
      </c>
    </row>
    <row r="583" spans="25:25" x14ac:dyDescent="0.2">
      <c r="Y583" s="36">
        <v>578</v>
      </c>
    </row>
    <row r="584" spans="25:25" x14ac:dyDescent="0.2">
      <c r="Y584" s="36">
        <v>579</v>
      </c>
    </row>
    <row r="585" spans="25:25" x14ac:dyDescent="0.2">
      <c r="Y585" s="36">
        <v>580</v>
      </c>
    </row>
    <row r="586" spans="25:25" x14ac:dyDescent="0.2">
      <c r="Y586" s="36">
        <v>581</v>
      </c>
    </row>
    <row r="587" spans="25:25" x14ac:dyDescent="0.2">
      <c r="Y587" s="36">
        <v>582</v>
      </c>
    </row>
    <row r="588" spans="25:25" x14ac:dyDescent="0.2">
      <c r="Y588" s="36">
        <v>583</v>
      </c>
    </row>
    <row r="589" spans="25:25" x14ac:dyDescent="0.2">
      <c r="Y589" s="36">
        <v>584</v>
      </c>
    </row>
  </sheetData>
  <mergeCells count="14">
    <mergeCell ref="C16:D16"/>
    <mergeCell ref="A2:E2"/>
    <mergeCell ref="D6:E6"/>
    <mergeCell ref="C13:D13"/>
    <mergeCell ref="C14:D14"/>
    <mergeCell ref="C15:D15"/>
    <mergeCell ref="C23:D23"/>
    <mergeCell ref="D26:E26"/>
    <mergeCell ref="C17:D17"/>
    <mergeCell ref="C18:D18"/>
    <mergeCell ref="C19:D19"/>
    <mergeCell ref="C20:D20"/>
    <mergeCell ref="C21:D21"/>
    <mergeCell ref="C22:D22"/>
  </mergeCells>
  <conditionalFormatting sqref="B11">
    <cfRule type="containsBlanks" dxfId="8" priority="4" stopIfTrue="1">
      <formula>LEN(TRIM(B11))=0</formula>
    </cfRule>
    <cfRule type="cellIs" dxfId="7" priority="6" stopIfTrue="1" operator="greaterThan">
      <formula>365</formula>
    </cfRule>
    <cfRule type="cellIs" dxfId="6" priority="7" stopIfTrue="1" operator="lessThan">
      <formula>29</formula>
    </cfRule>
  </conditionalFormatting>
  <conditionalFormatting sqref="B24">
    <cfRule type="cellIs" dxfId="5" priority="5" stopIfTrue="1" operator="equal">
      <formula>0</formula>
    </cfRule>
  </conditionalFormatting>
  <conditionalFormatting sqref="B6 B8">
    <cfRule type="expression" dxfId="4" priority="1" stopIfTrue="1">
      <formula>$I$5</formula>
    </cfRule>
    <cfRule type="containsText" dxfId="3" priority="2" stopIfTrue="1" operator="containsText" text="*-*">
      <formula>NOT(ISERROR(SEARCH("*-*",B6)))</formula>
    </cfRule>
    <cfRule type="containsText" dxfId="2" priority="3" stopIfTrue="1" operator="containsText" text="/">
      <formula>NOT(ISERROR(SEARCH("/",B6)))</formula>
    </cfRule>
    <cfRule type="expression" dxfId="1" priority="8" stopIfTrue="1">
      <formula>LEFT(B6,1)="0"</formula>
    </cfRule>
  </conditionalFormatting>
  <conditionalFormatting sqref="C24:F24 A19:F23">
    <cfRule type="expression" dxfId="0" priority="9" stopIfTrue="1">
      <formula>$C$7=1</formula>
    </cfRule>
  </conditionalFormatting>
  <dataValidations count="1">
    <dataValidation type="whole" errorStyle="information" allowBlank="1" showErrorMessage="1" errorTitle="VERIFICAR CANTIDAD" error="La cantidad mínima deber ser de VN 1000 y múltiplo de 1 VN" sqref="B14">
      <formula1>1000</formula1>
      <formula2>9999999999</formula2>
    </dataValidation>
  </dataValidations>
  <pageMargins left="0.74803149606299202" right="0.74803149606299202" top="1.1811023622047201" bottom="0.98425196850393704" header="0.51" footer="0"/>
  <pageSetup scale="63" orientation="portrait" r:id="rId1"/>
  <headerFooter alignWithMargins="0">
    <oddHeader>&amp;L&amp;G&amp;C&amp;T&amp;D</oddHead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Q220"/>
  <sheetViews>
    <sheetView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B219" sqref="B219"/>
    </sheetView>
  </sheetViews>
  <sheetFormatPr baseColWidth="10" defaultColWidth="9.140625" defaultRowHeight="12.75" x14ac:dyDescent="0.2"/>
  <cols>
    <col min="1" max="1" width="9.140625" style="1"/>
    <col min="2" max="2" width="41.5703125" style="1" customWidth="1"/>
    <col min="3" max="16384" width="9.140625" style="1"/>
  </cols>
  <sheetData>
    <row r="1" spans="1:17" x14ac:dyDescent="0.2">
      <c r="A1" s="1" t="s">
        <v>5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31</v>
      </c>
      <c r="O2" s="1" t="s">
        <v>31</v>
      </c>
      <c r="P2" s="1" t="s">
        <v>32</v>
      </c>
      <c r="Q2" s="1" t="s">
        <v>31</v>
      </c>
    </row>
    <row r="3" spans="1:17" x14ac:dyDescent="0.2">
      <c r="A3" s="1">
        <v>2</v>
      </c>
      <c r="B3" s="1" t="s">
        <v>33</v>
      </c>
      <c r="C3" s="1" t="s">
        <v>34</v>
      </c>
      <c r="D3" s="1" t="s">
        <v>35</v>
      </c>
      <c r="E3" s="1" t="s">
        <v>23</v>
      </c>
      <c r="F3" s="1" t="s">
        <v>36</v>
      </c>
      <c r="G3" s="1" t="s">
        <v>37</v>
      </c>
      <c r="H3" s="1" t="s">
        <v>26</v>
      </c>
      <c r="I3" s="1" t="s">
        <v>38</v>
      </c>
      <c r="J3" s="1" t="s">
        <v>31</v>
      </c>
      <c r="K3" s="1" t="s">
        <v>39</v>
      </c>
      <c r="L3" s="1" t="s">
        <v>40</v>
      </c>
      <c r="M3" s="1" t="s">
        <v>31</v>
      </c>
      <c r="N3" s="1" t="s">
        <v>31</v>
      </c>
      <c r="O3" s="1" t="s">
        <v>31</v>
      </c>
      <c r="P3" s="1" t="s">
        <v>41</v>
      </c>
      <c r="Q3" s="1" t="s">
        <v>31</v>
      </c>
    </row>
    <row r="4" spans="1:17" x14ac:dyDescent="0.2">
      <c r="A4" s="1">
        <v>4</v>
      </c>
      <c r="B4" s="1" t="s">
        <v>42</v>
      </c>
      <c r="C4" s="1" t="s">
        <v>43</v>
      </c>
      <c r="D4" s="1" t="s">
        <v>22</v>
      </c>
      <c r="E4" s="1" t="s">
        <v>23</v>
      </c>
      <c r="F4" s="1" t="s">
        <v>44</v>
      </c>
      <c r="G4" s="1" t="s">
        <v>45</v>
      </c>
      <c r="H4" s="1" t="s">
        <v>26</v>
      </c>
      <c r="I4" s="1" t="s">
        <v>46</v>
      </c>
      <c r="J4" s="1" t="s">
        <v>31</v>
      </c>
      <c r="K4" s="1" t="s">
        <v>47</v>
      </c>
      <c r="L4" s="1" t="s">
        <v>48</v>
      </c>
      <c r="M4" s="1" t="s">
        <v>31</v>
      </c>
      <c r="N4" s="1" t="s">
        <v>31</v>
      </c>
      <c r="O4" s="1" t="s">
        <v>31</v>
      </c>
      <c r="P4" s="1" t="s">
        <v>49</v>
      </c>
      <c r="Q4" s="1" t="s">
        <v>31</v>
      </c>
    </row>
    <row r="5" spans="1:17" x14ac:dyDescent="0.2">
      <c r="A5" s="1">
        <v>5</v>
      </c>
      <c r="B5" s="1" t="s">
        <v>50</v>
      </c>
      <c r="C5" s="1" t="s">
        <v>51</v>
      </c>
      <c r="D5" s="1" t="s">
        <v>22</v>
      </c>
      <c r="E5" s="1" t="s">
        <v>23</v>
      </c>
      <c r="F5" s="1" t="s">
        <v>52</v>
      </c>
      <c r="G5" s="1" t="s">
        <v>53</v>
      </c>
      <c r="H5" s="1" t="s">
        <v>26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</row>
    <row r="6" spans="1:17" x14ac:dyDescent="0.2">
      <c r="A6" s="1">
        <v>6</v>
      </c>
      <c r="B6" s="1" t="s">
        <v>58</v>
      </c>
      <c r="C6" s="1" t="s">
        <v>59</v>
      </c>
      <c r="D6" s="1" t="s">
        <v>35</v>
      </c>
      <c r="E6" s="1" t="s">
        <v>23</v>
      </c>
      <c r="F6" s="1" t="s">
        <v>60</v>
      </c>
      <c r="G6" s="1" t="s">
        <v>61</v>
      </c>
      <c r="H6" s="1" t="s">
        <v>26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31</v>
      </c>
      <c r="N6" s="1" t="s">
        <v>31</v>
      </c>
      <c r="O6" s="1" t="s">
        <v>31</v>
      </c>
      <c r="P6" s="1" t="s">
        <v>66</v>
      </c>
      <c r="Q6" s="1" t="s">
        <v>31</v>
      </c>
    </row>
    <row r="7" spans="1:17" x14ac:dyDescent="0.2">
      <c r="A7" s="1">
        <v>7</v>
      </c>
      <c r="B7" s="1" t="s">
        <v>67</v>
      </c>
      <c r="C7" s="1" t="s">
        <v>68</v>
      </c>
      <c r="D7" s="1" t="s">
        <v>35</v>
      </c>
      <c r="E7" s="1" t="s">
        <v>23</v>
      </c>
      <c r="F7" s="1" t="s">
        <v>69</v>
      </c>
      <c r="G7" s="1" t="s">
        <v>70</v>
      </c>
      <c r="H7" s="1" t="s">
        <v>26</v>
      </c>
      <c r="I7" s="1" t="s">
        <v>71</v>
      </c>
      <c r="J7" s="1" t="s">
        <v>31</v>
      </c>
      <c r="K7" s="1" t="s">
        <v>72</v>
      </c>
      <c r="L7" s="1" t="s">
        <v>73</v>
      </c>
      <c r="M7" s="1" t="s">
        <v>31</v>
      </c>
      <c r="N7" s="1" t="s">
        <v>31</v>
      </c>
      <c r="O7" s="1" t="s">
        <v>31</v>
      </c>
      <c r="P7" s="1" t="s">
        <v>74</v>
      </c>
      <c r="Q7" s="1" t="s">
        <v>31</v>
      </c>
    </row>
    <row r="8" spans="1:17" x14ac:dyDescent="0.2">
      <c r="A8" s="1">
        <v>8</v>
      </c>
      <c r="B8" s="1" t="s">
        <v>75</v>
      </c>
      <c r="C8" s="1" t="s">
        <v>76</v>
      </c>
      <c r="D8" s="1" t="s">
        <v>22</v>
      </c>
      <c r="E8" s="1" t="s">
        <v>23</v>
      </c>
      <c r="F8" s="1" t="s">
        <v>77</v>
      </c>
      <c r="G8" s="1" t="s">
        <v>78</v>
      </c>
      <c r="H8" s="1" t="s">
        <v>26</v>
      </c>
      <c r="I8" s="1" t="s">
        <v>79</v>
      </c>
      <c r="J8" s="1" t="s">
        <v>80</v>
      </c>
      <c r="K8" s="1" t="s">
        <v>81</v>
      </c>
      <c r="L8" s="1" t="s">
        <v>82</v>
      </c>
      <c r="M8" s="1" t="s">
        <v>31</v>
      </c>
      <c r="N8" s="1" t="s">
        <v>31</v>
      </c>
      <c r="O8" s="1" t="s">
        <v>31</v>
      </c>
      <c r="P8" s="1" t="s">
        <v>83</v>
      </c>
      <c r="Q8" s="1" t="s">
        <v>31</v>
      </c>
    </row>
    <row r="9" spans="1:17" x14ac:dyDescent="0.2">
      <c r="A9" s="1">
        <v>9</v>
      </c>
      <c r="B9" s="1" t="s">
        <v>84</v>
      </c>
      <c r="C9" s="1" t="s">
        <v>85</v>
      </c>
      <c r="D9" s="1" t="s">
        <v>22</v>
      </c>
      <c r="E9" s="1" t="s">
        <v>23</v>
      </c>
      <c r="F9" s="1" t="s">
        <v>86</v>
      </c>
      <c r="G9" s="1" t="s">
        <v>31</v>
      </c>
      <c r="H9" s="1" t="s">
        <v>87</v>
      </c>
      <c r="I9" s="1" t="s">
        <v>88</v>
      </c>
      <c r="J9" s="1" t="s">
        <v>89</v>
      </c>
      <c r="K9" s="1" t="s">
        <v>90</v>
      </c>
      <c r="L9" s="1" t="s">
        <v>91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31</v>
      </c>
    </row>
    <row r="10" spans="1:17" x14ac:dyDescent="0.2">
      <c r="A10" s="1">
        <v>10</v>
      </c>
      <c r="B10" s="1" t="s">
        <v>92</v>
      </c>
      <c r="C10" s="1" t="s">
        <v>93</v>
      </c>
      <c r="D10" s="1" t="s">
        <v>22</v>
      </c>
      <c r="E10" s="1" t="s">
        <v>23</v>
      </c>
      <c r="F10" s="1" t="s">
        <v>94</v>
      </c>
      <c r="G10" s="1" t="s">
        <v>95</v>
      </c>
      <c r="H10" s="1" t="s">
        <v>26</v>
      </c>
      <c r="I10" s="1" t="s">
        <v>96</v>
      </c>
      <c r="J10" s="1" t="s">
        <v>31</v>
      </c>
      <c r="K10" s="1" t="s">
        <v>97</v>
      </c>
      <c r="L10" s="1" t="s">
        <v>98</v>
      </c>
      <c r="M10" s="1" t="s">
        <v>31</v>
      </c>
      <c r="N10" s="1" t="s">
        <v>31</v>
      </c>
      <c r="O10" s="1" t="s">
        <v>31</v>
      </c>
      <c r="P10" s="1" t="s">
        <v>99</v>
      </c>
      <c r="Q10" s="1" t="s">
        <v>31</v>
      </c>
    </row>
    <row r="11" spans="1:17" x14ac:dyDescent="0.2">
      <c r="A11" s="1">
        <v>12</v>
      </c>
      <c r="B11" s="1" t="s">
        <v>100</v>
      </c>
      <c r="C11" s="1" t="s">
        <v>101</v>
      </c>
      <c r="D11" s="1" t="s">
        <v>22</v>
      </c>
      <c r="E11" s="1" t="s">
        <v>23</v>
      </c>
      <c r="F11" s="1" t="s">
        <v>102</v>
      </c>
      <c r="G11" s="1" t="s">
        <v>103</v>
      </c>
      <c r="H11" s="1" t="s">
        <v>26</v>
      </c>
      <c r="I11" s="1" t="s">
        <v>104</v>
      </c>
      <c r="J11" s="1" t="s">
        <v>31</v>
      </c>
      <c r="K11" s="1" t="s">
        <v>105</v>
      </c>
      <c r="L11" s="1" t="s">
        <v>106</v>
      </c>
      <c r="M11" s="1" t="s">
        <v>31</v>
      </c>
      <c r="N11" s="1" t="s">
        <v>31</v>
      </c>
      <c r="O11" s="1" t="s">
        <v>31</v>
      </c>
      <c r="P11" s="1" t="s">
        <v>107</v>
      </c>
      <c r="Q11" s="1" t="s">
        <v>31</v>
      </c>
    </row>
    <row r="12" spans="1:17" x14ac:dyDescent="0.2">
      <c r="A12" s="1">
        <v>13</v>
      </c>
      <c r="B12" s="1" t="s">
        <v>108</v>
      </c>
      <c r="C12" s="1" t="s">
        <v>109</v>
      </c>
      <c r="D12" s="1" t="s">
        <v>22</v>
      </c>
      <c r="E12" s="1" t="s">
        <v>23</v>
      </c>
      <c r="F12" s="1" t="s">
        <v>110</v>
      </c>
      <c r="G12" s="1" t="s">
        <v>111</v>
      </c>
      <c r="H12" s="1" t="s">
        <v>26</v>
      </c>
      <c r="I12" s="1" t="s">
        <v>112</v>
      </c>
      <c r="J12" s="1" t="s">
        <v>113</v>
      </c>
      <c r="K12" s="1" t="s">
        <v>114</v>
      </c>
      <c r="L12" s="1" t="s">
        <v>115</v>
      </c>
      <c r="M12" s="1" t="s">
        <v>31</v>
      </c>
      <c r="N12" s="1" t="s">
        <v>31</v>
      </c>
      <c r="O12" s="1" t="s">
        <v>31</v>
      </c>
      <c r="P12" s="1" t="s">
        <v>116</v>
      </c>
      <c r="Q12" s="1" t="s">
        <v>31</v>
      </c>
    </row>
    <row r="13" spans="1:17" x14ac:dyDescent="0.2">
      <c r="A13" s="1">
        <v>15</v>
      </c>
      <c r="B13" s="1" t="s">
        <v>117</v>
      </c>
      <c r="C13" s="1" t="s">
        <v>118</v>
      </c>
      <c r="D13" s="1" t="s">
        <v>22</v>
      </c>
      <c r="E13" s="1" t="s">
        <v>23</v>
      </c>
      <c r="F13" s="1" t="s">
        <v>119</v>
      </c>
      <c r="G13" s="1" t="s">
        <v>120</v>
      </c>
      <c r="H13" s="1" t="s">
        <v>26</v>
      </c>
      <c r="I13" s="1" t="s">
        <v>121</v>
      </c>
      <c r="J13" s="1" t="s">
        <v>31</v>
      </c>
      <c r="K13" s="1" t="s">
        <v>122</v>
      </c>
      <c r="L13" s="1" t="s">
        <v>123</v>
      </c>
      <c r="M13" s="1" t="s">
        <v>31</v>
      </c>
      <c r="N13" s="1" t="s">
        <v>31</v>
      </c>
      <c r="O13" s="1" t="s">
        <v>31</v>
      </c>
      <c r="P13" s="1" t="s">
        <v>124</v>
      </c>
      <c r="Q13" s="1" t="s">
        <v>31</v>
      </c>
    </row>
    <row r="14" spans="1:17" x14ac:dyDescent="0.2">
      <c r="A14" s="1">
        <v>16</v>
      </c>
      <c r="B14" s="1" t="s">
        <v>125</v>
      </c>
      <c r="C14" s="1" t="s">
        <v>126</v>
      </c>
      <c r="D14" s="1" t="s">
        <v>22</v>
      </c>
      <c r="E14" s="1" t="s">
        <v>23</v>
      </c>
      <c r="F14" s="1" t="s">
        <v>127</v>
      </c>
      <c r="G14" s="1" t="s">
        <v>128</v>
      </c>
      <c r="H14" s="1" t="s">
        <v>26</v>
      </c>
      <c r="I14" s="1" t="s">
        <v>129</v>
      </c>
      <c r="J14" s="1" t="s">
        <v>31</v>
      </c>
      <c r="K14" s="1" t="s">
        <v>130</v>
      </c>
      <c r="L14" s="1" t="s">
        <v>131</v>
      </c>
      <c r="M14" s="1" t="s">
        <v>31</v>
      </c>
      <c r="N14" s="1" t="s">
        <v>31</v>
      </c>
      <c r="O14" s="1" t="s">
        <v>31</v>
      </c>
      <c r="P14" s="1" t="s">
        <v>132</v>
      </c>
      <c r="Q14" s="1" t="s">
        <v>31</v>
      </c>
    </row>
    <row r="15" spans="1:17" x14ac:dyDescent="0.2">
      <c r="A15" s="1">
        <v>17</v>
      </c>
      <c r="B15" s="1" t="s">
        <v>133</v>
      </c>
      <c r="C15" s="1" t="s">
        <v>134</v>
      </c>
      <c r="D15" s="1" t="s">
        <v>35</v>
      </c>
      <c r="E15" s="1" t="s">
        <v>23</v>
      </c>
      <c r="F15" s="1" t="s">
        <v>135</v>
      </c>
      <c r="G15" s="1" t="s">
        <v>136</v>
      </c>
      <c r="H15" s="1" t="s">
        <v>87</v>
      </c>
      <c r="I15" s="1" t="s">
        <v>137</v>
      </c>
      <c r="J15" s="1" t="s">
        <v>138</v>
      </c>
      <c r="K15" s="1" t="s">
        <v>139</v>
      </c>
      <c r="L15" s="1" t="s">
        <v>140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</row>
    <row r="16" spans="1:17" x14ac:dyDescent="0.2">
      <c r="A16" s="1">
        <v>18</v>
      </c>
      <c r="B16" s="1" t="s">
        <v>141</v>
      </c>
      <c r="C16" s="1" t="s">
        <v>142</v>
      </c>
      <c r="D16" s="1" t="s">
        <v>22</v>
      </c>
      <c r="E16" s="1" t="s">
        <v>23</v>
      </c>
      <c r="F16" s="1" t="s">
        <v>143</v>
      </c>
      <c r="G16" s="1" t="s">
        <v>136</v>
      </c>
      <c r="H16" s="1" t="s">
        <v>26</v>
      </c>
      <c r="I16" s="1" t="s">
        <v>144</v>
      </c>
      <c r="J16" s="1" t="s">
        <v>31</v>
      </c>
      <c r="K16" s="1" t="s">
        <v>145</v>
      </c>
      <c r="L16" s="1" t="s">
        <v>146</v>
      </c>
      <c r="M16" s="1" t="s">
        <v>31</v>
      </c>
      <c r="N16" s="1" t="s">
        <v>31</v>
      </c>
      <c r="O16" s="1" t="s">
        <v>31</v>
      </c>
      <c r="P16" s="1" t="s">
        <v>147</v>
      </c>
      <c r="Q16" s="1" t="s">
        <v>31</v>
      </c>
    </row>
    <row r="17" spans="1:17" x14ac:dyDescent="0.2">
      <c r="A17" s="1">
        <v>19</v>
      </c>
      <c r="B17" s="1" t="s">
        <v>148</v>
      </c>
      <c r="C17" s="1" t="s">
        <v>149</v>
      </c>
      <c r="D17" s="1" t="s">
        <v>22</v>
      </c>
      <c r="E17" s="1" t="s">
        <v>23</v>
      </c>
      <c r="F17" s="1" t="s">
        <v>150</v>
      </c>
      <c r="G17" s="1" t="s">
        <v>151</v>
      </c>
      <c r="H17" s="1" t="s">
        <v>26</v>
      </c>
      <c r="I17" s="1" t="s">
        <v>152</v>
      </c>
      <c r="J17" s="1" t="s">
        <v>153</v>
      </c>
      <c r="K17" s="1" t="s">
        <v>154</v>
      </c>
      <c r="L17" s="1" t="s">
        <v>155</v>
      </c>
      <c r="M17" s="1" t="s">
        <v>31</v>
      </c>
      <c r="N17" s="1" t="s">
        <v>31</v>
      </c>
      <c r="O17" s="1" t="s">
        <v>31</v>
      </c>
      <c r="P17" s="1" t="s">
        <v>156</v>
      </c>
      <c r="Q17" s="1" t="s">
        <v>31</v>
      </c>
    </row>
    <row r="18" spans="1:17" x14ac:dyDescent="0.2">
      <c r="A18" s="1">
        <v>20</v>
      </c>
      <c r="B18" s="1" t="s">
        <v>157</v>
      </c>
      <c r="C18" s="1" t="s">
        <v>158</v>
      </c>
      <c r="D18" s="1" t="s">
        <v>22</v>
      </c>
      <c r="E18" s="1" t="s">
        <v>23</v>
      </c>
      <c r="F18" s="1" t="s">
        <v>159</v>
      </c>
      <c r="G18" s="1" t="s">
        <v>103</v>
      </c>
      <c r="H18" s="1" t="s">
        <v>26</v>
      </c>
      <c r="I18" s="1" t="s">
        <v>160</v>
      </c>
      <c r="J18" s="1" t="s">
        <v>31</v>
      </c>
      <c r="K18" s="1" t="s">
        <v>161</v>
      </c>
      <c r="L18" s="1" t="s">
        <v>162</v>
      </c>
      <c r="M18" s="1" t="s">
        <v>31</v>
      </c>
      <c r="N18" s="1" t="s">
        <v>31</v>
      </c>
      <c r="O18" s="1" t="s">
        <v>31</v>
      </c>
      <c r="P18" s="1" t="s">
        <v>163</v>
      </c>
      <c r="Q18" s="1" t="s">
        <v>31</v>
      </c>
    </row>
    <row r="19" spans="1:17" x14ac:dyDescent="0.2">
      <c r="A19" s="1">
        <v>21</v>
      </c>
      <c r="B19" s="1" t="s">
        <v>164</v>
      </c>
      <c r="C19" s="1" t="s">
        <v>165</v>
      </c>
      <c r="D19" s="1" t="s">
        <v>22</v>
      </c>
      <c r="E19" s="1" t="s">
        <v>23</v>
      </c>
      <c r="F19" s="1" t="s">
        <v>166</v>
      </c>
      <c r="G19" s="1" t="s">
        <v>167</v>
      </c>
      <c r="H19" s="1" t="s">
        <v>26</v>
      </c>
      <c r="I19" s="1" t="s">
        <v>168</v>
      </c>
      <c r="J19" s="1" t="s">
        <v>169</v>
      </c>
      <c r="K19" s="1" t="s">
        <v>170</v>
      </c>
      <c r="L19" s="1" t="s">
        <v>171</v>
      </c>
      <c r="M19" s="1" t="s">
        <v>31</v>
      </c>
      <c r="N19" s="1" t="s">
        <v>31</v>
      </c>
      <c r="O19" s="1" t="s">
        <v>31</v>
      </c>
      <c r="P19" s="1" t="s">
        <v>172</v>
      </c>
      <c r="Q19" s="1" t="s">
        <v>31</v>
      </c>
    </row>
    <row r="20" spans="1:17" x14ac:dyDescent="0.2">
      <c r="A20" s="1">
        <v>23</v>
      </c>
      <c r="B20" s="1" t="s">
        <v>173</v>
      </c>
      <c r="C20" s="1" t="s">
        <v>174</v>
      </c>
      <c r="D20" s="1" t="s">
        <v>35</v>
      </c>
      <c r="E20" s="1" t="s">
        <v>23</v>
      </c>
      <c r="F20" s="1" t="s">
        <v>175</v>
      </c>
      <c r="G20" s="1" t="s">
        <v>176</v>
      </c>
      <c r="H20" s="1" t="s">
        <v>26</v>
      </c>
      <c r="I20" s="1" t="s">
        <v>177</v>
      </c>
      <c r="J20" s="1" t="s">
        <v>178</v>
      </c>
      <c r="K20" s="1" t="s">
        <v>179</v>
      </c>
      <c r="L20" s="1" t="s">
        <v>180</v>
      </c>
      <c r="M20" s="1" t="s">
        <v>31</v>
      </c>
      <c r="N20" s="1" t="s">
        <v>181</v>
      </c>
      <c r="O20" s="1" t="s">
        <v>31</v>
      </c>
      <c r="P20" s="1" t="s">
        <v>182</v>
      </c>
      <c r="Q20" s="1" t="s">
        <v>31</v>
      </c>
    </row>
    <row r="21" spans="1:17" x14ac:dyDescent="0.2">
      <c r="A21" s="1">
        <v>24</v>
      </c>
      <c r="B21" s="1" t="s">
        <v>183</v>
      </c>
      <c r="C21" s="1" t="s">
        <v>184</v>
      </c>
      <c r="D21" s="1" t="s">
        <v>22</v>
      </c>
      <c r="E21" s="1" t="s">
        <v>23</v>
      </c>
      <c r="F21" s="1" t="s">
        <v>185</v>
      </c>
      <c r="G21" s="1" t="s">
        <v>186</v>
      </c>
      <c r="H21" s="1" t="s">
        <v>26</v>
      </c>
      <c r="I21" s="1" t="s">
        <v>187</v>
      </c>
      <c r="J21" s="1" t="s">
        <v>31</v>
      </c>
      <c r="K21" s="1" t="s">
        <v>188</v>
      </c>
      <c r="L21" s="1" t="s">
        <v>189</v>
      </c>
      <c r="M21" s="1" t="s">
        <v>31</v>
      </c>
      <c r="N21" s="1" t="s">
        <v>31</v>
      </c>
      <c r="O21" s="1" t="s">
        <v>31</v>
      </c>
      <c r="P21" s="1" t="s">
        <v>190</v>
      </c>
      <c r="Q21" s="1" t="s">
        <v>31</v>
      </c>
    </row>
    <row r="22" spans="1:17" x14ac:dyDescent="0.2">
      <c r="A22" s="1">
        <v>25</v>
      </c>
      <c r="B22" s="1" t="s">
        <v>191</v>
      </c>
      <c r="C22" s="1" t="s">
        <v>192</v>
      </c>
      <c r="D22" s="1" t="s">
        <v>35</v>
      </c>
      <c r="E22" s="1" t="s">
        <v>23</v>
      </c>
      <c r="F22" s="1" t="s">
        <v>193</v>
      </c>
      <c r="G22" s="1" t="s">
        <v>194</v>
      </c>
      <c r="H22" s="1" t="s">
        <v>87</v>
      </c>
      <c r="I22" s="1" t="s">
        <v>195</v>
      </c>
      <c r="J22" s="1" t="s">
        <v>31</v>
      </c>
      <c r="K22" s="1" t="s">
        <v>196</v>
      </c>
      <c r="L22" s="1" t="s">
        <v>197</v>
      </c>
      <c r="M22" s="1" t="s">
        <v>31</v>
      </c>
      <c r="N22" s="1" t="s">
        <v>31</v>
      </c>
      <c r="O22" s="1" t="s">
        <v>31</v>
      </c>
      <c r="P22" s="1" t="s">
        <v>31</v>
      </c>
      <c r="Q22" s="1" t="s">
        <v>31</v>
      </c>
    </row>
    <row r="23" spans="1:17" x14ac:dyDescent="0.2">
      <c r="A23" s="1">
        <v>26</v>
      </c>
      <c r="B23" s="1" t="s">
        <v>198</v>
      </c>
      <c r="C23" s="1" t="s">
        <v>199</v>
      </c>
      <c r="D23" s="1" t="s">
        <v>22</v>
      </c>
      <c r="E23" s="1" t="s">
        <v>23</v>
      </c>
      <c r="F23" s="1" t="s">
        <v>200</v>
      </c>
      <c r="G23" s="1" t="s">
        <v>201</v>
      </c>
      <c r="H23" s="1" t="s">
        <v>202</v>
      </c>
      <c r="I23" s="1" t="s">
        <v>203</v>
      </c>
      <c r="J23" s="1" t="s">
        <v>31</v>
      </c>
      <c r="K23" s="1" t="s">
        <v>204</v>
      </c>
      <c r="L23" s="1" t="s">
        <v>205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</row>
    <row r="24" spans="1:17" x14ac:dyDescent="0.2">
      <c r="A24" s="1">
        <v>27</v>
      </c>
      <c r="B24" s="1" t="s">
        <v>206</v>
      </c>
      <c r="C24" s="1" t="s">
        <v>207</v>
      </c>
      <c r="D24" s="1" t="s">
        <v>22</v>
      </c>
      <c r="E24" s="1" t="s">
        <v>23</v>
      </c>
      <c r="F24" s="1" t="s">
        <v>208</v>
      </c>
      <c r="G24" s="1" t="s">
        <v>209</v>
      </c>
      <c r="H24" s="1" t="s">
        <v>26</v>
      </c>
      <c r="I24" s="1" t="s">
        <v>210</v>
      </c>
      <c r="J24" s="1" t="s">
        <v>31</v>
      </c>
      <c r="K24" s="1" t="s">
        <v>211</v>
      </c>
      <c r="L24" s="1" t="s">
        <v>212</v>
      </c>
      <c r="M24" s="1" t="s">
        <v>31</v>
      </c>
      <c r="N24" s="1" t="s">
        <v>31</v>
      </c>
      <c r="O24" s="1" t="s">
        <v>31</v>
      </c>
      <c r="P24" s="1" t="s">
        <v>213</v>
      </c>
      <c r="Q24" s="1" t="s">
        <v>31</v>
      </c>
    </row>
    <row r="25" spans="1:17" x14ac:dyDescent="0.2">
      <c r="A25" s="1">
        <v>28</v>
      </c>
      <c r="B25" s="1" t="s">
        <v>214</v>
      </c>
      <c r="C25" s="1" t="s">
        <v>215</v>
      </c>
      <c r="D25" s="1" t="s">
        <v>22</v>
      </c>
      <c r="E25" s="1" t="s">
        <v>23</v>
      </c>
      <c r="F25" s="1" t="s">
        <v>216</v>
      </c>
      <c r="G25" s="1" t="s">
        <v>217</v>
      </c>
      <c r="H25" s="1" t="s">
        <v>202</v>
      </c>
      <c r="I25" s="1" t="s">
        <v>218</v>
      </c>
      <c r="J25" s="1" t="s">
        <v>31</v>
      </c>
      <c r="K25" s="1" t="s">
        <v>219</v>
      </c>
      <c r="L25" s="1" t="s">
        <v>220</v>
      </c>
      <c r="M25" s="1" t="s">
        <v>31</v>
      </c>
      <c r="N25" s="1" t="s">
        <v>31</v>
      </c>
      <c r="O25" s="1" t="s">
        <v>31</v>
      </c>
      <c r="P25" s="1" t="s">
        <v>31</v>
      </c>
      <c r="Q25" s="1" t="s">
        <v>31</v>
      </c>
    </row>
    <row r="26" spans="1:17" x14ac:dyDescent="0.2">
      <c r="A26" s="1">
        <v>29</v>
      </c>
      <c r="B26" s="1" t="s">
        <v>221</v>
      </c>
      <c r="C26" s="1" t="s">
        <v>222</v>
      </c>
      <c r="D26" s="1" t="s">
        <v>35</v>
      </c>
      <c r="E26" s="1" t="s">
        <v>23</v>
      </c>
      <c r="F26" s="1" t="s">
        <v>223</v>
      </c>
      <c r="G26" s="1" t="s">
        <v>224</v>
      </c>
      <c r="H26" s="1" t="s">
        <v>87</v>
      </c>
      <c r="I26" s="1" t="s">
        <v>225</v>
      </c>
      <c r="J26" s="1" t="s">
        <v>225</v>
      </c>
      <c r="K26" s="1" t="s">
        <v>226</v>
      </c>
      <c r="L26" s="1" t="s">
        <v>227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31</v>
      </c>
    </row>
    <row r="27" spans="1:17" x14ac:dyDescent="0.2">
      <c r="A27" s="1">
        <v>30</v>
      </c>
      <c r="B27" s="1" t="s">
        <v>228</v>
      </c>
      <c r="C27" s="1" t="s">
        <v>229</v>
      </c>
      <c r="D27" s="1" t="s">
        <v>22</v>
      </c>
      <c r="E27" s="1" t="s">
        <v>23</v>
      </c>
      <c r="F27" s="1" t="s">
        <v>230</v>
      </c>
      <c r="G27" s="1" t="s">
        <v>231</v>
      </c>
      <c r="H27" s="1" t="s">
        <v>26</v>
      </c>
      <c r="I27" s="1" t="s">
        <v>232</v>
      </c>
      <c r="J27" s="1" t="s">
        <v>31</v>
      </c>
      <c r="K27" s="1" t="s">
        <v>233</v>
      </c>
      <c r="L27" s="1" t="s">
        <v>234</v>
      </c>
      <c r="M27" s="1" t="s">
        <v>31</v>
      </c>
      <c r="N27" s="1" t="s">
        <v>31</v>
      </c>
      <c r="O27" s="1" t="s">
        <v>31</v>
      </c>
      <c r="P27" s="1" t="s">
        <v>235</v>
      </c>
      <c r="Q27" s="1" t="s">
        <v>31</v>
      </c>
    </row>
    <row r="28" spans="1:17" x14ac:dyDescent="0.2">
      <c r="A28" s="1">
        <v>31</v>
      </c>
      <c r="B28" s="1" t="s">
        <v>236</v>
      </c>
      <c r="C28" s="1" t="s">
        <v>237</v>
      </c>
      <c r="D28" s="1" t="s">
        <v>22</v>
      </c>
      <c r="E28" s="1" t="s">
        <v>23</v>
      </c>
      <c r="F28" s="1" t="s">
        <v>238</v>
      </c>
      <c r="G28" s="1" t="s">
        <v>31</v>
      </c>
      <c r="H28" s="1" t="s">
        <v>87</v>
      </c>
      <c r="I28" s="1" t="s">
        <v>239</v>
      </c>
      <c r="J28" s="1" t="s">
        <v>239</v>
      </c>
      <c r="K28" s="1" t="s">
        <v>240</v>
      </c>
      <c r="L28" s="1" t="s">
        <v>241</v>
      </c>
      <c r="M28" s="1" t="s">
        <v>31</v>
      </c>
      <c r="N28" s="1" t="s">
        <v>31</v>
      </c>
      <c r="O28" s="1" t="s">
        <v>31</v>
      </c>
      <c r="P28" s="1" t="s">
        <v>31</v>
      </c>
      <c r="Q28" s="1" t="s">
        <v>31</v>
      </c>
    </row>
    <row r="29" spans="1:17" x14ac:dyDescent="0.2">
      <c r="A29" s="1">
        <v>32</v>
      </c>
      <c r="B29" s="1" t="s">
        <v>242</v>
      </c>
      <c r="C29" s="1" t="s">
        <v>243</v>
      </c>
      <c r="D29" s="1" t="s">
        <v>22</v>
      </c>
      <c r="E29" s="1" t="s">
        <v>23</v>
      </c>
      <c r="F29" s="1" t="s">
        <v>244</v>
      </c>
      <c r="G29" s="1" t="s">
        <v>103</v>
      </c>
      <c r="H29" s="1" t="s">
        <v>26</v>
      </c>
      <c r="I29" s="1" t="s">
        <v>245</v>
      </c>
      <c r="J29" s="1" t="s">
        <v>246</v>
      </c>
      <c r="K29" s="1" t="s">
        <v>247</v>
      </c>
      <c r="L29" s="1" t="s">
        <v>248</v>
      </c>
      <c r="M29" s="1" t="s">
        <v>31</v>
      </c>
      <c r="N29" s="1" t="s">
        <v>31</v>
      </c>
      <c r="O29" s="1" t="s">
        <v>31</v>
      </c>
      <c r="P29" s="1" t="s">
        <v>249</v>
      </c>
      <c r="Q29" s="1" t="s">
        <v>31</v>
      </c>
    </row>
    <row r="30" spans="1:17" x14ac:dyDescent="0.2">
      <c r="A30" s="1">
        <v>33</v>
      </c>
      <c r="B30" s="1" t="s">
        <v>250</v>
      </c>
      <c r="C30" s="1" t="s">
        <v>251</v>
      </c>
      <c r="D30" s="1" t="s">
        <v>35</v>
      </c>
      <c r="E30" s="1" t="s">
        <v>23</v>
      </c>
      <c r="F30" s="1" t="s">
        <v>252</v>
      </c>
      <c r="G30" s="1" t="s">
        <v>253</v>
      </c>
      <c r="H30" s="1" t="s">
        <v>26</v>
      </c>
      <c r="I30" s="1" t="s">
        <v>254</v>
      </c>
      <c r="J30" s="1" t="s">
        <v>255</v>
      </c>
      <c r="K30" s="1" t="s">
        <v>256</v>
      </c>
      <c r="L30" s="1" t="s">
        <v>257</v>
      </c>
      <c r="M30" s="1" t="s">
        <v>31</v>
      </c>
      <c r="N30" s="1" t="s">
        <v>31</v>
      </c>
      <c r="O30" s="1" t="s">
        <v>31</v>
      </c>
      <c r="P30" s="1" t="s">
        <v>258</v>
      </c>
      <c r="Q30" s="1" t="s">
        <v>31</v>
      </c>
    </row>
    <row r="31" spans="1:17" x14ac:dyDescent="0.2">
      <c r="A31" s="1">
        <v>35</v>
      </c>
      <c r="B31" s="1" t="s">
        <v>259</v>
      </c>
      <c r="C31" s="1" t="s">
        <v>260</v>
      </c>
      <c r="D31" s="1" t="s">
        <v>35</v>
      </c>
      <c r="E31" s="1" t="s">
        <v>23</v>
      </c>
      <c r="F31" s="1" t="s">
        <v>261</v>
      </c>
      <c r="G31" s="1" t="s">
        <v>231</v>
      </c>
      <c r="H31" s="1" t="s">
        <v>26</v>
      </c>
      <c r="I31" s="1" t="s">
        <v>262</v>
      </c>
      <c r="J31" s="1" t="s">
        <v>263</v>
      </c>
      <c r="K31" s="1" t="s">
        <v>264</v>
      </c>
      <c r="L31" s="1" t="s">
        <v>265</v>
      </c>
      <c r="M31" s="1" t="s">
        <v>31</v>
      </c>
      <c r="N31" s="1" t="s">
        <v>31</v>
      </c>
      <c r="O31" s="1" t="s">
        <v>31</v>
      </c>
      <c r="P31" s="1" t="s">
        <v>266</v>
      </c>
      <c r="Q31" s="1" t="s">
        <v>31</v>
      </c>
    </row>
    <row r="32" spans="1:17" x14ac:dyDescent="0.2">
      <c r="A32" s="1">
        <v>36</v>
      </c>
      <c r="B32" s="1" t="s">
        <v>267</v>
      </c>
      <c r="C32" s="1" t="s">
        <v>268</v>
      </c>
      <c r="D32" s="1" t="s">
        <v>22</v>
      </c>
      <c r="E32" s="1" t="s">
        <v>23</v>
      </c>
      <c r="F32" s="1" t="s">
        <v>269</v>
      </c>
      <c r="G32" s="1" t="s">
        <v>53</v>
      </c>
      <c r="H32" s="1" t="s">
        <v>26</v>
      </c>
      <c r="I32" s="1" t="s">
        <v>270</v>
      </c>
      <c r="J32" s="1" t="s">
        <v>31</v>
      </c>
      <c r="K32" s="1" t="s">
        <v>271</v>
      </c>
      <c r="L32" s="1" t="s">
        <v>272</v>
      </c>
      <c r="M32" s="1" t="s">
        <v>31</v>
      </c>
      <c r="N32" s="1" t="s">
        <v>31</v>
      </c>
      <c r="O32" s="1" t="s">
        <v>31</v>
      </c>
      <c r="P32" s="1" t="s">
        <v>273</v>
      </c>
      <c r="Q32" s="1" t="s">
        <v>31</v>
      </c>
    </row>
    <row r="33" spans="1:17" x14ac:dyDescent="0.2">
      <c r="A33" s="1">
        <v>37</v>
      </c>
      <c r="B33" s="1" t="s">
        <v>274</v>
      </c>
      <c r="C33" s="1" t="s">
        <v>275</v>
      </c>
      <c r="D33" s="1" t="s">
        <v>22</v>
      </c>
      <c r="E33" s="1" t="s">
        <v>23</v>
      </c>
      <c r="F33" s="1" t="s">
        <v>276</v>
      </c>
      <c r="G33" s="1" t="s">
        <v>217</v>
      </c>
      <c r="H33" s="1" t="s">
        <v>202</v>
      </c>
      <c r="I33" s="1" t="s">
        <v>277</v>
      </c>
      <c r="J33" s="1" t="s">
        <v>31</v>
      </c>
      <c r="K33" s="1" t="s">
        <v>278</v>
      </c>
      <c r="L33" s="1" t="s">
        <v>279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</row>
    <row r="34" spans="1:17" x14ac:dyDescent="0.2">
      <c r="A34" s="1">
        <v>38</v>
      </c>
      <c r="B34" s="1" t="s">
        <v>280</v>
      </c>
      <c r="C34" s="1" t="s">
        <v>281</v>
      </c>
      <c r="D34" s="1" t="s">
        <v>22</v>
      </c>
      <c r="E34" s="1" t="s">
        <v>23</v>
      </c>
      <c r="F34" s="1" t="s">
        <v>282</v>
      </c>
      <c r="G34" s="1" t="s">
        <v>283</v>
      </c>
      <c r="H34" s="1" t="s">
        <v>26</v>
      </c>
      <c r="I34" s="1" t="s">
        <v>284</v>
      </c>
      <c r="J34" s="1" t="s">
        <v>285</v>
      </c>
      <c r="K34" s="1" t="s">
        <v>286</v>
      </c>
      <c r="L34" s="1" t="s">
        <v>287</v>
      </c>
      <c r="M34" s="1" t="s">
        <v>31</v>
      </c>
      <c r="N34" s="1" t="s">
        <v>31</v>
      </c>
      <c r="O34" s="1" t="s">
        <v>31</v>
      </c>
      <c r="P34" s="1" t="s">
        <v>288</v>
      </c>
      <c r="Q34" s="1" t="s">
        <v>31</v>
      </c>
    </row>
    <row r="35" spans="1:17" x14ac:dyDescent="0.2">
      <c r="A35" s="1">
        <v>40</v>
      </c>
      <c r="B35" s="1" t="s">
        <v>289</v>
      </c>
      <c r="C35" s="1" t="s">
        <v>290</v>
      </c>
      <c r="D35" s="1" t="s">
        <v>35</v>
      </c>
      <c r="E35" s="1" t="s">
        <v>23</v>
      </c>
      <c r="F35" s="1" t="s">
        <v>291</v>
      </c>
      <c r="G35" s="1" t="s">
        <v>292</v>
      </c>
      <c r="H35" s="1" t="s">
        <v>26</v>
      </c>
      <c r="I35" s="1" t="s">
        <v>293</v>
      </c>
      <c r="J35" s="1" t="s">
        <v>293</v>
      </c>
      <c r="K35" s="1" t="s">
        <v>294</v>
      </c>
      <c r="L35" s="1" t="s">
        <v>295</v>
      </c>
      <c r="M35" s="1" t="s">
        <v>31</v>
      </c>
      <c r="N35" s="1" t="s">
        <v>31</v>
      </c>
      <c r="O35" s="1" t="s">
        <v>31</v>
      </c>
      <c r="P35" s="1" t="s">
        <v>296</v>
      </c>
      <c r="Q35" s="1" t="s">
        <v>31</v>
      </c>
    </row>
    <row r="36" spans="1:17" x14ac:dyDescent="0.2">
      <c r="A36" s="1">
        <v>42</v>
      </c>
      <c r="B36" s="1" t="s">
        <v>297</v>
      </c>
      <c r="C36" s="1" t="s">
        <v>298</v>
      </c>
      <c r="D36" s="1" t="s">
        <v>35</v>
      </c>
      <c r="E36" s="1" t="s">
        <v>23</v>
      </c>
      <c r="F36" s="1" t="s">
        <v>299</v>
      </c>
      <c r="G36" s="1" t="s">
        <v>300</v>
      </c>
      <c r="H36" s="1" t="s">
        <v>301</v>
      </c>
      <c r="I36" s="1" t="s">
        <v>302</v>
      </c>
      <c r="J36" s="1" t="s">
        <v>303</v>
      </c>
      <c r="K36" s="1" t="s">
        <v>304</v>
      </c>
      <c r="L36" s="1" t="s">
        <v>305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31</v>
      </c>
    </row>
    <row r="37" spans="1:17" x14ac:dyDescent="0.2">
      <c r="A37" s="1">
        <v>43</v>
      </c>
      <c r="B37" s="1" t="s">
        <v>306</v>
      </c>
      <c r="C37" s="1" t="s">
        <v>307</v>
      </c>
      <c r="D37" s="1" t="s">
        <v>35</v>
      </c>
      <c r="E37" s="1" t="s">
        <v>23</v>
      </c>
      <c r="F37" s="1" t="s">
        <v>308</v>
      </c>
      <c r="G37" s="1" t="s">
        <v>31</v>
      </c>
      <c r="H37" s="1" t="s">
        <v>31</v>
      </c>
      <c r="I37" s="1" t="s">
        <v>309</v>
      </c>
      <c r="J37" s="1" t="s">
        <v>310</v>
      </c>
      <c r="K37" s="1" t="s">
        <v>311</v>
      </c>
      <c r="L37" s="1" t="s">
        <v>312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</row>
    <row r="38" spans="1:17" x14ac:dyDescent="0.2">
      <c r="A38" s="1">
        <v>44</v>
      </c>
      <c r="B38" s="1" t="s">
        <v>313</v>
      </c>
      <c r="C38" s="1" t="s">
        <v>314</v>
      </c>
      <c r="D38" s="1" t="s">
        <v>35</v>
      </c>
      <c r="E38" s="1" t="s">
        <v>23</v>
      </c>
      <c r="F38" s="1" t="s">
        <v>315</v>
      </c>
      <c r="G38" s="1" t="s">
        <v>87</v>
      </c>
      <c r="H38" s="1" t="s">
        <v>316</v>
      </c>
      <c r="I38" s="1" t="s">
        <v>317</v>
      </c>
      <c r="J38" s="1" t="s">
        <v>31</v>
      </c>
      <c r="K38" s="1" t="s">
        <v>318</v>
      </c>
      <c r="L38" s="1" t="s">
        <v>31</v>
      </c>
      <c r="M38" s="1" t="s">
        <v>31</v>
      </c>
      <c r="N38" s="1" t="s">
        <v>31</v>
      </c>
      <c r="O38" s="1" t="s">
        <v>31</v>
      </c>
      <c r="P38" s="1" t="s">
        <v>31</v>
      </c>
      <c r="Q38" s="1" t="s">
        <v>31</v>
      </c>
    </row>
    <row r="39" spans="1:17" x14ac:dyDescent="0.2">
      <c r="A39" s="1">
        <v>45</v>
      </c>
      <c r="B39" s="1" t="s">
        <v>319</v>
      </c>
      <c r="C39" s="1" t="s">
        <v>320</v>
      </c>
      <c r="D39" s="1" t="s">
        <v>22</v>
      </c>
      <c r="E39" s="1" t="s">
        <v>23</v>
      </c>
      <c r="F39" s="1" t="s">
        <v>321</v>
      </c>
      <c r="G39" s="1" t="s">
        <v>322</v>
      </c>
      <c r="H39" s="1" t="s">
        <v>202</v>
      </c>
      <c r="I39" s="1" t="s">
        <v>323</v>
      </c>
      <c r="J39" s="1" t="s">
        <v>323</v>
      </c>
      <c r="K39" s="1" t="s">
        <v>324</v>
      </c>
      <c r="L39" s="1" t="s">
        <v>325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31</v>
      </c>
    </row>
    <row r="40" spans="1:17" x14ac:dyDescent="0.2">
      <c r="A40" s="1">
        <v>46</v>
      </c>
      <c r="B40" s="1" t="s">
        <v>326</v>
      </c>
      <c r="C40" s="1" t="s">
        <v>327</v>
      </c>
      <c r="D40" s="1" t="s">
        <v>35</v>
      </c>
      <c r="E40" s="1" t="s">
        <v>23</v>
      </c>
      <c r="F40" s="1" t="s">
        <v>328</v>
      </c>
      <c r="G40" s="1" t="s">
        <v>329</v>
      </c>
      <c r="H40" s="1" t="s">
        <v>87</v>
      </c>
      <c r="I40" s="1" t="s">
        <v>330</v>
      </c>
      <c r="J40" s="1" t="s">
        <v>331</v>
      </c>
      <c r="K40" s="1" t="s">
        <v>332</v>
      </c>
      <c r="L40" s="1" t="s">
        <v>333</v>
      </c>
      <c r="M40" s="1" t="s">
        <v>31</v>
      </c>
      <c r="N40" s="1" t="s">
        <v>31</v>
      </c>
      <c r="O40" s="1" t="s">
        <v>31</v>
      </c>
      <c r="P40" s="1" t="s">
        <v>334</v>
      </c>
      <c r="Q40" s="1" t="s">
        <v>31</v>
      </c>
    </row>
    <row r="41" spans="1:17" x14ac:dyDescent="0.2">
      <c r="A41" s="1">
        <v>47</v>
      </c>
      <c r="B41" s="1" t="s">
        <v>335</v>
      </c>
      <c r="C41" s="1" t="s">
        <v>336</v>
      </c>
      <c r="D41" s="1" t="s">
        <v>35</v>
      </c>
      <c r="E41" s="1" t="s">
        <v>23</v>
      </c>
      <c r="F41" s="1" t="s">
        <v>337</v>
      </c>
      <c r="G41" s="1" t="s">
        <v>338</v>
      </c>
      <c r="H41" s="1" t="s">
        <v>339</v>
      </c>
      <c r="I41" s="1" t="s">
        <v>340</v>
      </c>
      <c r="J41" s="1" t="s">
        <v>341</v>
      </c>
      <c r="K41" s="1" t="s">
        <v>342</v>
      </c>
      <c r="L41" s="1" t="s">
        <v>343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</row>
    <row r="42" spans="1:17" x14ac:dyDescent="0.2">
      <c r="A42" s="1">
        <v>48</v>
      </c>
      <c r="B42" s="1" t="s">
        <v>344</v>
      </c>
      <c r="C42" s="1" t="s">
        <v>345</v>
      </c>
      <c r="D42" s="1" t="s">
        <v>35</v>
      </c>
      <c r="E42" s="1" t="s">
        <v>23</v>
      </c>
      <c r="F42" s="1" t="s">
        <v>346</v>
      </c>
      <c r="G42" s="1" t="s">
        <v>103</v>
      </c>
      <c r="H42" s="1" t="s">
        <v>26</v>
      </c>
      <c r="I42" s="1" t="s">
        <v>347</v>
      </c>
      <c r="J42" s="1" t="s">
        <v>31</v>
      </c>
      <c r="K42" s="1" t="s">
        <v>348</v>
      </c>
      <c r="L42" s="1" t="s">
        <v>349</v>
      </c>
      <c r="M42" s="1" t="s">
        <v>31</v>
      </c>
      <c r="N42" s="1" t="s">
        <v>31</v>
      </c>
      <c r="O42" s="1" t="s">
        <v>31</v>
      </c>
      <c r="P42" s="1" t="s">
        <v>350</v>
      </c>
      <c r="Q42" s="1" t="s">
        <v>31</v>
      </c>
    </row>
    <row r="43" spans="1:17" x14ac:dyDescent="0.2">
      <c r="A43" s="1">
        <v>49</v>
      </c>
      <c r="B43" s="1" t="s">
        <v>351</v>
      </c>
      <c r="C43" s="1" t="s">
        <v>352</v>
      </c>
      <c r="D43" s="1" t="s">
        <v>22</v>
      </c>
      <c r="E43" s="1" t="s">
        <v>23</v>
      </c>
      <c r="F43" s="1" t="s">
        <v>353</v>
      </c>
      <c r="G43" s="1" t="s">
        <v>354</v>
      </c>
      <c r="H43" s="1" t="s">
        <v>26</v>
      </c>
      <c r="I43" s="1" t="s">
        <v>355</v>
      </c>
      <c r="J43" s="1" t="s">
        <v>356</v>
      </c>
      <c r="K43" s="1" t="s">
        <v>357</v>
      </c>
      <c r="L43" s="1" t="s">
        <v>358</v>
      </c>
      <c r="M43" s="1" t="s">
        <v>31</v>
      </c>
      <c r="N43" s="1" t="s">
        <v>31</v>
      </c>
      <c r="O43" s="1" t="s">
        <v>31</v>
      </c>
      <c r="P43" s="1" t="s">
        <v>359</v>
      </c>
      <c r="Q43" s="1" t="s">
        <v>31</v>
      </c>
    </row>
    <row r="44" spans="1:17" x14ac:dyDescent="0.2">
      <c r="A44" s="1">
        <v>50</v>
      </c>
      <c r="B44" s="1" t="s">
        <v>360</v>
      </c>
      <c r="C44" s="1" t="s">
        <v>361</v>
      </c>
      <c r="D44" s="1" t="s">
        <v>22</v>
      </c>
      <c r="E44" s="1" t="s">
        <v>23</v>
      </c>
      <c r="F44" s="1" t="s">
        <v>362</v>
      </c>
      <c r="G44" s="1" t="s">
        <v>363</v>
      </c>
      <c r="H44" s="1" t="s">
        <v>26</v>
      </c>
      <c r="I44" s="1" t="s">
        <v>364</v>
      </c>
      <c r="J44" s="1" t="s">
        <v>365</v>
      </c>
      <c r="K44" s="1" t="s">
        <v>366</v>
      </c>
      <c r="L44" s="1" t="s">
        <v>367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</row>
    <row r="45" spans="1:17" x14ac:dyDescent="0.2">
      <c r="A45" s="1">
        <v>51</v>
      </c>
      <c r="B45" s="1" t="s">
        <v>368</v>
      </c>
      <c r="C45" s="1" t="s">
        <v>369</v>
      </c>
      <c r="D45" s="1" t="s">
        <v>22</v>
      </c>
      <c r="E45" s="1" t="s">
        <v>23</v>
      </c>
      <c r="F45" s="1" t="s">
        <v>370</v>
      </c>
      <c r="G45" s="1" t="s">
        <v>217</v>
      </c>
      <c r="H45" s="1" t="s">
        <v>202</v>
      </c>
      <c r="I45" s="1" t="s">
        <v>371</v>
      </c>
      <c r="J45" s="1" t="s">
        <v>31</v>
      </c>
      <c r="K45" s="1" t="s">
        <v>372</v>
      </c>
      <c r="L45" s="1" t="s">
        <v>31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31</v>
      </c>
    </row>
    <row r="46" spans="1:17" x14ac:dyDescent="0.2">
      <c r="A46" s="1">
        <v>52</v>
      </c>
      <c r="B46" s="1" t="s">
        <v>1673</v>
      </c>
      <c r="C46" s="1">
        <v>54</v>
      </c>
      <c r="D46" s="1" t="s">
        <v>35</v>
      </c>
      <c r="E46" s="1" t="s">
        <v>23</v>
      </c>
      <c r="F46" s="1" t="s">
        <v>1674</v>
      </c>
      <c r="H46" s="1" t="s">
        <v>87</v>
      </c>
      <c r="I46" s="1" t="s">
        <v>1675</v>
      </c>
      <c r="J46" s="1" t="s">
        <v>1676</v>
      </c>
      <c r="K46" s="1" t="s">
        <v>1677</v>
      </c>
      <c r="L46" s="1" t="s">
        <v>1678</v>
      </c>
    </row>
    <row r="47" spans="1:17" x14ac:dyDescent="0.2">
      <c r="A47" s="1">
        <v>53</v>
      </c>
      <c r="B47" s="1" t="s">
        <v>373</v>
      </c>
      <c r="C47" s="1" t="s">
        <v>374</v>
      </c>
      <c r="D47" s="1" t="s">
        <v>22</v>
      </c>
      <c r="E47" s="1" t="s">
        <v>23</v>
      </c>
      <c r="F47" s="1" t="s">
        <v>375</v>
      </c>
      <c r="G47" s="1" t="s">
        <v>376</v>
      </c>
      <c r="H47" s="1" t="s">
        <v>26</v>
      </c>
      <c r="I47" s="1" t="s">
        <v>377</v>
      </c>
      <c r="J47" s="1" t="s">
        <v>378</v>
      </c>
      <c r="K47" s="1" t="s">
        <v>379</v>
      </c>
      <c r="L47" s="1" t="s">
        <v>380</v>
      </c>
      <c r="M47" s="1" t="s">
        <v>31</v>
      </c>
      <c r="N47" s="1" t="s">
        <v>31</v>
      </c>
      <c r="O47" s="1" t="s">
        <v>31</v>
      </c>
      <c r="P47" s="1" t="s">
        <v>381</v>
      </c>
      <c r="Q47" s="1" t="s">
        <v>31</v>
      </c>
    </row>
    <row r="48" spans="1:17" x14ac:dyDescent="0.2">
      <c r="A48" s="1">
        <v>55</v>
      </c>
      <c r="B48" s="1" t="s">
        <v>1683</v>
      </c>
      <c r="C48" s="1">
        <v>198</v>
      </c>
      <c r="D48" s="1" t="s">
        <v>22</v>
      </c>
      <c r="E48" s="1" t="s">
        <v>23</v>
      </c>
      <c r="F48" s="1" t="s">
        <v>1684</v>
      </c>
      <c r="G48" s="1" t="s">
        <v>393</v>
      </c>
      <c r="H48" s="1" t="s">
        <v>394</v>
      </c>
      <c r="I48" s="1" t="s">
        <v>1685</v>
      </c>
      <c r="J48" s="1" t="s">
        <v>1685</v>
      </c>
      <c r="K48" s="1" t="s">
        <v>1686</v>
      </c>
      <c r="L48" s="1" t="s">
        <v>1687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</row>
    <row r="49" spans="1:17" x14ac:dyDescent="0.2">
      <c r="A49" s="1">
        <v>56</v>
      </c>
      <c r="B49" s="1" t="s">
        <v>382</v>
      </c>
      <c r="C49" s="1" t="s">
        <v>383</v>
      </c>
      <c r="D49" s="1" t="s">
        <v>35</v>
      </c>
      <c r="E49" s="1" t="s">
        <v>23</v>
      </c>
      <c r="F49" s="1" t="s">
        <v>384</v>
      </c>
      <c r="G49" s="1" t="s">
        <v>385</v>
      </c>
      <c r="H49" s="1" t="s">
        <v>339</v>
      </c>
      <c r="I49" s="1" t="s">
        <v>386</v>
      </c>
      <c r="J49" s="1" t="s">
        <v>31</v>
      </c>
      <c r="K49" s="1" t="s">
        <v>387</v>
      </c>
      <c r="L49" s="1" t="s">
        <v>388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</row>
    <row r="50" spans="1:17" x14ac:dyDescent="0.2">
      <c r="A50" s="1">
        <v>57</v>
      </c>
      <c r="B50" s="1" t="s">
        <v>389</v>
      </c>
      <c r="C50" s="1" t="s">
        <v>390</v>
      </c>
      <c r="D50" s="1" t="s">
        <v>22</v>
      </c>
      <c r="E50" s="1" t="s">
        <v>391</v>
      </c>
      <c r="F50" s="1" t="s">
        <v>392</v>
      </c>
      <c r="G50" s="1" t="s">
        <v>393</v>
      </c>
      <c r="H50" s="1" t="s">
        <v>394</v>
      </c>
      <c r="I50" s="1" t="s">
        <v>395</v>
      </c>
      <c r="J50" s="1" t="s">
        <v>396</v>
      </c>
      <c r="K50" s="1" t="s">
        <v>397</v>
      </c>
      <c r="L50" s="1" t="s">
        <v>398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31</v>
      </c>
    </row>
    <row r="51" spans="1:17" x14ac:dyDescent="0.2">
      <c r="A51" s="1">
        <v>59</v>
      </c>
      <c r="B51" s="1" t="s">
        <v>399</v>
      </c>
      <c r="C51" s="1" t="s">
        <v>400</v>
      </c>
      <c r="D51" s="1" t="s">
        <v>35</v>
      </c>
      <c r="E51" s="1" t="s">
        <v>23</v>
      </c>
      <c r="F51" s="1" t="s">
        <v>401</v>
      </c>
      <c r="G51" s="1" t="s">
        <v>402</v>
      </c>
      <c r="H51" s="1" t="s">
        <v>26</v>
      </c>
      <c r="I51" s="1" t="s">
        <v>403</v>
      </c>
      <c r="J51" s="1" t="s">
        <v>404</v>
      </c>
      <c r="K51" s="1" t="s">
        <v>405</v>
      </c>
      <c r="L51" s="1" t="s">
        <v>406</v>
      </c>
      <c r="M51" s="1" t="s">
        <v>31</v>
      </c>
      <c r="N51" s="1" t="s">
        <v>31</v>
      </c>
      <c r="O51" s="1" t="s">
        <v>31</v>
      </c>
      <c r="P51" s="1" t="s">
        <v>407</v>
      </c>
      <c r="Q51" s="1" t="s">
        <v>31</v>
      </c>
    </row>
    <row r="52" spans="1:17" x14ac:dyDescent="0.2">
      <c r="A52" s="1">
        <v>60</v>
      </c>
      <c r="B52" s="1" t="s">
        <v>408</v>
      </c>
      <c r="C52" s="1" t="s">
        <v>409</v>
      </c>
      <c r="D52" s="1" t="s">
        <v>22</v>
      </c>
      <c r="E52" s="1" t="s">
        <v>23</v>
      </c>
      <c r="F52" s="1" t="s">
        <v>410</v>
      </c>
      <c r="G52" s="1" t="s">
        <v>411</v>
      </c>
      <c r="H52" s="1" t="s">
        <v>26</v>
      </c>
      <c r="I52" s="1" t="s">
        <v>412</v>
      </c>
      <c r="J52" s="1" t="s">
        <v>31</v>
      </c>
      <c r="K52" s="1" t="s">
        <v>413</v>
      </c>
      <c r="L52" s="1" t="s">
        <v>414</v>
      </c>
      <c r="M52" s="1" t="s">
        <v>31</v>
      </c>
      <c r="N52" s="1" t="s">
        <v>31</v>
      </c>
      <c r="O52" s="1" t="s">
        <v>31</v>
      </c>
      <c r="P52" s="1" t="s">
        <v>415</v>
      </c>
      <c r="Q52" s="1" t="s">
        <v>31</v>
      </c>
    </row>
    <row r="53" spans="1:17" x14ac:dyDescent="0.2">
      <c r="A53" s="1">
        <v>61</v>
      </c>
      <c r="B53" s="1" t="s">
        <v>416</v>
      </c>
      <c r="C53" s="1" t="s">
        <v>417</v>
      </c>
      <c r="D53" s="1" t="s">
        <v>22</v>
      </c>
      <c r="E53" s="1" t="s">
        <v>23</v>
      </c>
      <c r="F53" s="1" t="s">
        <v>418</v>
      </c>
      <c r="G53" s="1" t="s">
        <v>419</v>
      </c>
      <c r="H53" s="1" t="s">
        <v>420</v>
      </c>
      <c r="I53" s="1" t="s">
        <v>421</v>
      </c>
      <c r="J53" s="1" t="s">
        <v>31</v>
      </c>
      <c r="K53" s="1" t="s">
        <v>422</v>
      </c>
      <c r="L53" s="1" t="s">
        <v>423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31</v>
      </c>
    </row>
    <row r="54" spans="1:17" x14ac:dyDescent="0.2">
      <c r="A54" s="1">
        <v>63</v>
      </c>
      <c r="B54" s="1" t="s">
        <v>424</v>
      </c>
      <c r="C54" s="1" t="s">
        <v>425</v>
      </c>
      <c r="D54" s="1" t="s">
        <v>22</v>
      </c>
      <c r="E54" s="1" t="s">
        <v>23</v>
      </c>
      <c r="F54" s="1" t="s">
        <v>426</v>
      </c>
      <c r="G54" s="1" t="s">
        <v>231</v>
      </c>
      <c r="H54" s="1" t="s">
        <v>26</v>
      </c>
      <c r="I54" s="1" t="s">
        <v>427</v>
      </c>
      <c r="J54" s="1" t="s">
        <v>428</v>
      </c>
      <c r="K54" s="1" t="s">
        <v>429</v>
      </c>
      <c r="L54" s="1" t="s">
        <v>430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</row>
    <row r="55" spans="1:17" x14ac:dyDescent="0.2">
      <c r="A55" s="1">
        <v>64</v>
      </c>
      <c r="B55" s="1" t="s">
        <v>431</v>
      </c>
      <c r="C55" s="1" t="s">
        <v>432</v>
      </c>
      <c r="D55" s="1" t="s">
        <v>22</v>
      </c>
      <c r="E55" s="1" t="s">
        <v>23</v>
      </c>
      <c r="F55" s="1" t="s">
        <v>433</v>
      </c>
      <c r="G55" s="1" t="s">
        <v>434</v>
      </c>
      <c r="H55" s="1" t="s">
        <v>26</v>
      </c>
      <c r="I55" s="1" t="s">
        <v>435</v>
      </c>
      <c r="J55" s="1" t="s">
        <v>436</v>
      </c>
      <c r="K55" s="1" t="s">
        <v>437</v>
      </c>
      <c r="L55" s="1" t="s">
        <v>438</v>
      </c>
      <c r="M55" s="1" t="s">
        <v>31</v>
      </c>
      <c r="N55" s="1" t="s">
        <v>31</v>
      </c>
      <c r="O55" s="1" t="s">
        <v>31</v>
      </c>
      <c r="P55" s="1" t="s">
        <v>439</v>
      </c>
      <c r="Q55" s="1" t="s">
        <v>31</v>
      </c>
    </row>
    <row r="56" spans="1:17" x14ac:dyDescent="0.2">
      <c r="A56" s="1">
        <v>65</v>
      </c>
      <c r="B56" s="1" t="s">
        <v>440</v>
      </c>
      <c r="C56" s="1" t="s">
        <v>441</v>
      </c>
      <c r="D56" s="1" t="s">
        <v>22</v>
      </c>
      <c r="E56" s="1" t="s">
        <v>23</v>
      </c>
      <c r="F56" s="1" t="s">
        <v>442</v>
      </c>
      <c r="G56" s="1" t="s">
        <v>31</v>
      </c>
      <c r="H56" s="1" t="s">
        <v>87</v>
      </c>
      <c r="I56" s="1" t="s">
        <v>443</v>
      </c>
      <c r="J56" s="1" t="s">
        <v>444</v>
      </c>
      <c r="K56" s="1" t="s">
        <v>445</v>
      </c>
      <c r="L56" s="1" t="s">
        <v>446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31</v>
      </c>
    </row>
    <row r="57" spans="1:17" x14ac:dyDescent="0.2">
      <c r="A57" s="1">
        <v>67</v>
      </c>
      <c r="B57" s="1" t="s">
        <v>447</v>
      </c>
      <c r="C57" s="1" t="s">
        <v>448</v>
      </c>
      <c r="D57" s="1" t="s">
        <v>22</v>
      </c>
      <c r="E57" s="1" t="s">
        <v>391</v>
      </c>
      <c r="F57" s="1" t="s">
        <v>449</v>
      </c>
      <c r="G57" s="1" t="s">
        <v>393</v>
      </c>
      <c r="H57" s="1" t="s">
        <v>450</v>
      </c>
      <c r="I57" s="1" t="s">
        <v>451</v>
      </c>
      <c r="J57" s="1" t="s">
        <v>31</v>
      </c>
      <c r="K57" s="1" t="s">
        <v>452</v>
      </c>
      <c r="L57" s="1" t="s">
        <v>453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</row>
    <row r="58" spans="1:17" x14ac:dyDescent="0.2">
      <c r="A58" s="1">
        <v>68</v>
      </c>
      <c r="B58" s="1" t="s">
        <v>454</v>
      </c>
      <c r="C58" s="1" t="s">
        <v>455</v>
      </c>
      <c r="D58" s="1" t="s">
        <v>22</v>
      </c>
      <c r="E58" s="1" t="s">
        <v>23</v>
      </c>
      <c r="F58" s="1" t="s">
        <v>456</v>
      </c>
      <c r="G58" s="1" t="s">
        <v>457</v>
      </c>
      <c r="H58" s="1" t="s">
        <v>420</v>
      </c>
      <c r="I58" s="1" t="s">
        <v>458</v>
      </c>
      <c r="J58" s="1" t="s">
        <v>31</v>
      </c>
      <c r="K58" s="1" t="s">
        <v>459</v>
      </c>
      <c r="L58" s="1" t="s">
        <v>460</v>
      </c>
      <c r="M58" s="1" t="s">
        <v>31</v>
      </c>
      <c r="N58" s="1" t="s">
        <v>31</v>
      </c>
      <c r="O58" s="1" t="s">
        <v>31</v>
      </c>
      <c r="P58" s="1" t="s">
        <v>461</v>
      </c>
      <c r="Q58" s="1" t="s">
        <v>31</v>
      </c>
    </row>
    <row r="59" spans="1:17" x14ac:dyDescent="0.2">
      <c r="A59" s="1">
        <v>69</v>
      </c>
      <c r="B59" s="1" t="s">
        <v>462</v>
      </c>
      <c r="C59" s="1" t="s">
        <v>463</v>
      </c>
      <c r="D59" s="1" t="s">
        <v>22</v>
      </c>
      <c r="E59" s="1" t="s">
        <v>391</v>
      </c>
      <c r="F59" s="1" t="s">
        <v>464</v>
      </c>
      <c r="G59" s="1" t="s">
        <v>465</v>
      </c>
      <c r="H59" s="1" t="s">
        <v>394</v>
      </c>
      <c r="I59" s="1" t="s">
        <v>466</v>
      </c>
      <c r="J59" s="1" t="s">
        <v>466</v>
      </c>
      <c r="K59" s="1" t="s">
        <v>467</v>
      </c>
      <c r="L59" s="1" t="s">
        <v>468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</row>
    <row r="60" spans="1:17" x14ac:dyDescent="0.2">
      <c r="A60" s="1">
        <v>70</v>
      </c>
      <c r="B60" s="1" t="s">
        <v>469</v>
      </c>
      <c r="C60" s="1" t="s">
        <v>470</v>
      </c>
      <c r="D60" s="1" t="s">
        <v>35</v>
      </c>
      <c r="E60" s="1" t="s">
        <v>23</v>
      </c>
      <c r="F60" s="1" t="s">
        <v>471</v>
      </c>
      <c r="G60" s="1" t="s">
        <v>472</v>
      </c>
      <c r="H60" s="1" t="s">
        <v>87</v>
      </c>
      <c r="I60" s="1" t="s">
        <v>473</v>
      </c>
      <c r="J60" s="1" t="s">
        <v>474</v>
      </c>
      <c r="K60" s="1" t="s">
        <v>475</v>
      </c>
      <c r="L60" s="1" t="s">
        <v>476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</row>
    <row r="61" spans="1:17" x14ac:dyDescent="0.2">
      <c r="A61" s="1">
        <v>71</v>
      </c>
      <c r="B61" s="1" t="s">
        <v>477</v>
      </c>
      <c r="C61" s="1" t="s">
        <v>478</v>
      </c>
      <c r="D61" s="1" t="s">
        <v>22</v>
      </c>
      <c r="E61" s="1" t="s">
        <v>23</v>
      </c>
      <c r="F61" s="1" t="s">
        <v>479</v>
      </c>
      <c r="G61" s="1" t="s">
        <v>136</v>
      </c>
      <c r="H61" s="1" t="s">
        <v>26</v>
      </c>
      <c r="I61" s="1" t="s">
        <v>480</v>
      </c>
      <c r="J61" s="1" t="s">
        <v>481</v>
      </c>
      <c r="K61" s="1" t="s">
        <v>482</v>
      </c>
      <c r="L61" s="1" t="s">
        <v>483</v>
      </c>
      <c r="M61" s="1" t="s">
        <v>31</v>
      </c>
      <c r="N61" s="1" t="s">
        <v>31</v>
      </c>
      <c r="O61" s="1" t="s">
        <v>31</v>
      </c>
      <c r="P61" s="1" t="s">
        <v>484</v>
      </c>
      <c r="Q61" s="1" t="s">
        <v>31</v>
      </c>
    </row>
    <row r="62" spans="1:17" x14ac:dyDescent="0.2">
      <c r="A62" s="1">
        <v>72</v>
      </c>
      <c r="B62" s="1" t="s">
        <v>485</v>
      </c>
      <c r="C62" s="1" t="s">
        <v>486</v>
      </c>
      <c r="D62" s="1" t="s">
        <v>22</v>
      </c>
      <c r="E62" s="1" t="s">
        <v>23</v>
      </c>
      <c r="F62" s="1" t="s">
        <v>487</v>
      </c>
      <c r="G62" s="1" t="s">
        <v>488</v>
      </c>
      <c r="H62" s="1" t="s">
        <v>489</v>
      </c>
      <c r="I62" s="1" t="s">
        <v>490</v>
      </c>
      <c r="J62" s="1" t="s">
        <v>31</v>
      </c>
      <c r="K62" s="1" t="s">
        <v>491</v>
      </c>
      <c r="L62" s="1" t="s">
        <v>492</v>
      </c>
      <c r="M62" s="1" t="s">
        <v>31</v>
      </c>
      <c r="N62" s="1" t="s">
        <v>31</v>
      </c>
      <c r="O62" s="1" t="s">
        <v>31</v>
      </c>
      <c r="P62" s="1" t="s">
        <v>493</v>
      </c>
      <c r="Q62" s="1" t="s">
        <v>31</v>
      </c>
    </row>
    <row r="63" spans="1:17" x14ac:dyDescent="0.2">
      <c r="A63" s="1">
        <v>73</v>
      </c>
      <c r="B63" s="1" t="s">
        <v>494</v>
      </c>
      <c r="C63" s="1" t="s">
        <v>495</v>
      </c>
      <c r="D63" s="1" t="s">
        <v>22</v>
      </c>
      <c r="E63" s="1" t="s">
        <v>23</v>
      </c>
      <c r="F63" s="1" t="s">
        <v>496</v>
      </c>
      <c r="G63" s="1" t="s">
        <v>402</v>
      </c>
      <c r="H63" s="1" t="s">
        <v>26</v>
      </c>
      <c r="I63" s="1" t="s">
        <v>497</v>
      </c>
      <c r="J63" s="1" t="s">
        <v>31</v>
      </c>
      <c r="K63" s="1" t="s">
        <v>498</v>
      </c>
      <c r="L63" s="1" t="s">
        <v>499</v>
      </c>
      <c r="M63" s="1" t="s">
        <v>31</v>
      </c>
      <c r="N63" s="1" t="s">
        <v>31</v>
      </c>
      <c r="O63" s="1" t="s">
        <v>31</v>
      </c>
      <c r="P63" s="1" t="s">
        <v>500</v>
      </c>
      <c r="Q63" s="1" t="s">
        <v>31</v>
      </c>
    </row>
    <row r="64" spans="1:17" x14ac:dyDescent="0.2">
      <c r="A64" s="1">
        <v>75</v>
      </c>
      <c r="B64" s="1" t="s">
        <v>501</v>
      </c>
      <c r="C64" s="1" t="s">
        <v>502</v>
      </c>
      <c r="D64" s="1" t="s">
        <v>22</v>
      </c>
      <c r="E64" s="1" t="s">
        <v>23</v>
      </c>
      <c r="F64" s="1" t="s">
        <v>503</v>
      </c>
      <c r="G64" s="1" t="s">
        <v>504</v>
      </c>
      <c r="H64" s="1" t="s">
        <v>26</v>
      </c>
      <c r="I64" s="1" t="s">
        <v>505</v>
      </c>
      <c r="J64" s="1" t="s">
        <v>506</v>
      </c>
      <c r="K64" s="1" t="s">
        <v>507</v>
      </c>
      <c r="L64" s="1" t="s">
        <v>508</v>
      </c>
      <c r="M64" s="1" t="s">
        <v>31</v>
      </c>
      <c r="N64" s="1" t="s">
        <v>31</v>
      </c>
      <c r="O64" s="1" t="s">
        <v>31</v>
      </c>
      <c r="P64" s="1" t="s">
        <v>509</v>
      </c>
      <c r="Q64" s="1" t="s">
        <v>31</v>
      </c>
    </row>
    <row r="65" spans="1:17" x14ac:dyDescent="0.2">
      <c r="A65" s="1">
        <v>76</v>
      </c>
      <c r="B65" s="1" t="s">
        <v>510</v>
      </c>
      <c r="C65" s="1" t="s">
        <v>511</v>
      </c>
      <c r="D65" s="1" t="s">
        <v>22</v>
      </c>
      <c r="E65" s="1" t="s">
        <v>23</v>
      </c>
      <c r="F65" s="1" t="s">
        <v>512</v>
      </c>
      <c r="G65" s="1" t="s">
        <v>513</v>
      </c>
      <c r="H65" s="1" t="s">
        <v>26</v>
      </c>
      <c r="I65" s="1" t="s">
        <v>514</v>
      </c>
      <c r="J65" s="1" t="s">
        <v>31</v>
      </c>
      <c r="K65" s="1" t="s">
        <v>515</v>
      </c>
      <c r="L65" s="1" t="s">
        <v>516</v>
      </c>
      <c r="M65" s="1" t="s">
        <v>31</v>
      </c>
      <c r="N65" s="1" t="s">
        <v>31</v>
      </c>
      <c r="O65" s="1" t="s">
        <v>31</v>
      </c>
      <c r="P65" s="1" t="s">
        <v>517</v>
      </c>
      <c r="Q65" s="1" t="s">
        <v>31</v>
      </c>
    </row>
    <row r="66" spans="1:17" x14ac:dyDescent="0.2">
      <c r="A66" s="1">
        <v>77</v>
      </c>
      <c r="B66" s="1" t="s">
        <v>518</v>
      </c>
      <c r="C66" s="1" t="s">
        <v>519</v>
      </c>
      <c r="D66" s="1" t="s">
        <v>35</v>
      </c>
      <c r="E66" s="1" t="s">
        <v>23</v>
      </c>
      <c r="F66" s="1" t="s">
        <v>520</v>
      </c>
      <c r="G66" s="1" t="s">
        <v>376</v>
      </c>
      <c r="H66" s="1" t="s">
        <v>26</v>
      </c>
      <c r="I66" s="1" t="s">
        <v>521</v>
      </c>
      <c r="J66" s="1" t="s">
        <v>522</v>
      </c>
      <c r="K66" s="1" t="s">
        <v>523</v>
      </c>
      <c r="L66" s="1" t="s">
        <v>524</v>
      </c>
      <c r="M66" s="1" t="s">
        <v>31</v>
      </c>
      <c r="N66" s="1" t="s">
        <v>31</v>
      </c>
      <c r="O66" s="1" t="s">
        <v>31</v>
      </c>
      <c r="P66" s="1" t="s">
        <v>525</v>
      </c>
      <c r="Q66" s="1" t="s">
        <v>31</v>
      </c>
    </row>
    <row r="67" spans="1:17" x14ac:dyDescent="0.2">
      <c r="A67" s="1">
        <v>79</v>
      </c>
      <c r="B67" s="1" t="s">
        <v>526</v>
      </c>
      <c r="C67" s="1" t="s">
        <v>527</v>
      </c>
      <c r="D67" s="1" t="s">
        <v>22</v>
      </c>
      <c r="E67" s="1" t="s">
        <v>23</v>
      </c>
      <c r="F67" s="1" t="s">
        <v>528</v>
      </c>
      <c r="G67" s="1" t="s">
        <v>529</v>
      </c>
      <c r="H67" s="1" t="s">
        <v>26</v>
      </c>
      <c r="I67" s="1" t="s">
        <v>530</v>
      </c>
      <c r="J67" s="1" t="s">
        <v>31</v>
      </c>
      <c r="K67" s="1" t="s">
        <v>531</v>
      </c>
      <c r="L67" s="1" t="s">
        <v>532</v>
      </c>
      <c r="M67" s="1" t="s">
        <v>31</v>
      </c>
      <c r="N67" s="1" t="s">
        <v>31</v>
      </c>
      <c r="O67" s="1" t="s">
        <v>31</v>
      </c>
      <c r="P67" s="1" t="s">
        <v>533</v>
      </c>
      <c r="Q67" s="1" t="s">
        <v>31</v>
      </c>
    </row>
    <row r="68" spans="1:17" x14ac:dyDescent="0.2">
      <c r="A68" s="1">
        <v>80</v>
      </c>
      <c r="B68" s="1" t="s">
        <v>534</v>
      </c>
      <c r="C68" s="1" t="s">
        <v>535</v>
      </c>
      <c r="D68" s="1" t="s">
        <v>35</v>
      </c>
      <c r="E68" s="1" t="s">
        <v>23</v>
      </c>
      <c r="F68" s="1" t="s">
        <v>536</v>
      </c>
      <c r="G68" s="1" t="s">
        <v>537</v>
      </c>
      <c r="H68" s="1" t="s">
        <v>26</v>
      </c>
      <c r="I68" s="1" t="s">
        <v>538</v>
      </c>
      <c r="J68" s="1" t="s">
        <v>539</v>
      </c>
      <c r="K68" s="1" t="s">
        <v>540</v>
      </c>
      <c r="L68" s="1" t="s">
        <v>541</v>
      </c>
      <c r="M68" s="1" t="s">
        <v>31</v>
      </c>
      <c r="N68" s="1" t="s">
        <v>31</v>
      </c>
      <c r="O68" s="1" t="s">
        <v>31</v>
      </c>
      <c r="P68" s="1" t="s">
        <v>542</v>
      </c>
      <c r="Q68" s="1" t="s">
        <v>31</v>
      </c>
    </row>
    <row r="69" spans="1:17" x14ac:dyDescent="0.2">
      <c r="A69" s="1">
        <v>81</v>
      </c>
      <c r="B69" s="1" t="s">
        <v>543</v>
      </c>
      <c r="C69" s="1" t="s">
        <v>544</v>
      </c>
      <c r="D69" s="1" t="s">
        <v>22</v>
      </c>
      <c r="E69" s="1" t="s">
        <v>23</v>
      </c>
      <c r="F69" s="1" t="s">
        <v>31</v>
      </c>
      <c r="G69" s="1" t="s">
        <v>31</v>
      </c>
      <c r="H69" s="1" t="s">
        <v>31</v>
      </c>
      <c r="I69" s="1" t="s">
        <v>31</v>
      </c>
      <c r="J69" s="1" t="s">
        <v>31</v>
      </c>
      <c r="K69" s="1" t="s">
        <v>31</v>
      </c>
      <c r="L69" s="1" t="s">
        <v>31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31</v>
      </c>
    </row>
    <row r="70" spans="1:17" x14ac:dyDescent="0.2">
      <c r="A70" s="1">
        <v>82</v>
      </c>
      <c r="B70" s="1" t="s">
        <v>545</v>
      </c>
      <c r="C70" s="1" t="s">
        <v>546</v>
      </c>
      <c r="D70" s="1" t="s">
        <v>35</v>
      </c>
      <c r="E70" s="1" t="s">
        <v>23</v>
      </c>
      <c r="F70" s="1" t="s">
        <v>547</v>
      </c>
      <c r="G70" s="1" t="s">
        <v>548</v>
      </c>
      <c r="H70" s="1" t="s">
        <v>26</v>
      </c>
      <c r="I70" s="1" t="s">
        <v>549</v>
      </c>
      <c r="J70" s="1" t="s">
        <v>550</v>
      </c>
      <c r="K70" s="1" t="s">
        <v>31</v>
      </c>
      <c r="L70" s="1" t="s">
        <v>551</v>
      </c>
      <c r="M70" s="1" t="s">
        <v>31</v>
      </c>
      <c r="N70" s="1" t="s">
        <v>31</v>
      </c>
      <c r="O70" s="1" t="s">
        <v>31</v>
      </c>
      <c r="P70" s="1" t="s">
        <v>552</v>
      </c>
      <c r="Q70" s="1" t="s">
        <v>31</v>
      </c>
    </row>
    <row r="71" spans="1:17" x14ac:dyDescent="0.2">
      <c r="A71" s="1">
        <v>83</v>
      </c>
      <c r="B71" s="1" t="s">
        <v>553</v>
      </c>
      <c r="C71" s="1" t="s">
        <v>554</v>
      </c>
      <c r="D71" s="1" t="s">
        <v>22</v>
      </c>
      <c r="E71" s="1" t="s">
        <v>23</v>
      </c>
      <c r="F71" s="1" t="s">
        <v>555</v>
      </c>
      <c r="G71" s="1" t="s">
        <v>31</v>
      </c>
      <c r="H71" s="1" t="s">
        <v>339</v>
      </c>
      <c r="I71" s="1" t="s">
        <v>556</v>
      </c>
      <c r="J71" s="1" t="s">
        <v>31</v>
      </c>
      <c r="K71" s="1" t="s">
        <v>557</v>
      </c>
      <c r="L71" s="1" t="s">
        <v>558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31</v>
      </c>
    </row>
    <row r="72" spans="1:17" x14ac:dyDescent="0.2">
      <c r="A72" s="1">
        <v>84</v>
      </c>
      <c r="B72" s="1" t="s">
        <v>559</v>
      </c>
      <c r="C72" s="1" t="s">
        <v>560</v>
      </c>
      <c r="D72" s="1" t="s">
        <v>22</v>
      </c>
      <c r="E72" s="1" t="s">
        <v>23</v>
      </c>
      <c r="F72" s="1" t="s">
        <v>561</v>
      </c>
      <c r="G72" s="1" t="s">
        <v>53</v>
      </c>
      <c r="H72" s="1" t="s">
        <v>87</v>
      </c>
      <c r="I72" s="1" t="s">
        <v>562</v>
      </c>
      <c r="J72" s="1" t="s">
        <v>31</v>
      </c>
      <c r="K72" s="1" t="s">
        <v>563</v>
      </c>
      <c r="L72" s="1" t="s">
        <v>564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</row>
    <row r="73" spans="1:17" x14ac:dyDescent="0.2">
      <c r="A73" s="1">
        <v>85</v>
      </c>
      <c r="B73" s="1" t="s">
        <v>565</v>
      </c>
      <c r="C73" s="1" t="s">
        <v>566</v>
      </c>
      <c r="D73" s="1" t="s">
        <v>22</v>
      </c>
      <c r="E73" s="1" t="s">
        <v>23</v>
      </c>
      <c r="F73" s="1" t="s">
        <v>567</v>
      </c>
      <c r="G73" s="1" t="s">
        <v>31</v>
      </c>
      <c r="H73" s="1" t="s">
        <v>202</v>
      </c>
      <c r="I73" s="1" t="s">
        <v>568</v>
      </c>
      <c r="J73" s="1" t="s">
        <v>31</v>
      </c>
      <c r="K73" s="1" t="s">
        <v>569</v>
      </c>
      <c r="L73" s="1" t="s">
        <v>570</v>
      </c>
      <c r="M73" s="1" t="s">
        <v>31</v>
      </c>
      <c r="N73" s="1" t="s">
        <v>31</v>
      </c>
      <c r="O73" s="1" t="s">
        <v>31</v>
      </c>
      <c r="P73" s="1" t="s">
        <v>31</v>
      </c>
      <c r="Q73" s="1" t="s">
        <v>31</v>
      </c>
    </row>
    <row r="74" spans="1:17" x14ac:dyDescent="0.2">
      <c r="A74" s="1">
        <v>86</v>
      </c>
      <c r="B74" s="1" t="s">
        <v>571</v>
      </c>
      <c r="C74" s="1" t="s">
        <v>572</v>
      </c>
      <c r="D74" s="1" t="s">
        <v>22</v>
      </c>
      <c r="E74" s="1" t="s">
        <v>23</v>
      </c>
      <c r="F74" s="1" t="s">
        <v>573</v>
      </c>
      <c r="G74" s="1" t="s">
        <v>95</v>
      </c>
      <c r="H74" s="1" t="s">
        <v>26</v>
      </c>
      <c r="I74" s="1" t="s">
        <v>574</v>
      </c>
      <c r="J74" s="1" t="s">
        <v>575</v>
      </c>
      <c r="K74" s="1" t="s">
        <v>576</v>
      </c>
      <c r="L74" s="1" t="s">
        <v>577</v>
      </c>
      <c r="M74" s="1" t="s">
        <v>31</v>
      </c>
      <c r="N74" s="1" t="s">
        <v>31</v>
      </c>
      <c r="O74" s="1" t="s">
        <v>31</v>
      </c>
      <c r="P74" s="1" t="s">
        <v>578</v>
      </c>
      <c r="Q74" s="1" t="s">
        <v>31</v>
      </c>
    </row>
    <row r="75" spans="1:17" x14ac:dyDescent="0.2">
      <c r="A75" s="1">
        <v>87</v>
      </c>
      <c r="B75" s="1" t="s">
        <v>579</v>
      </c>
      <c r="C75" s="1" t="s">
        <v>580</v>
      </c>
      <c r="D75" s="1" t="s">
        <v>22</v>
      </c>
      <c r="E75" s="1" t="s">
        <v>23</v>
      </c>
      <c r="F75" s="1" t="s">
        <v>581</v>
      </c>
      <c r="G75" s="1" t="s">
        <v>582</v>
      </c>
      <c r="H75" s="1" t="s">
        <v>26</v>
      </c>
      <c r="I75" s="1" t="s">
        <v>583</v>
      </c>
      <c r="J75" s="1" t="s">
        <v>31</v>
      </c>
      <c r="K75" s="1" t="s">
        <v>584</v>
      </c>
      <c r="L75" s="1" t="s">
        <v>585</v>
      </c>
      <c r="M75" s="1" t="s">
        <v>31</v>
      </c>
      <c r="N75" s="1" t="s">
        <v>31</v>
      </c>
      <c r="O75" s="1" t="s">
        <v>31</v>
      </c>
      <c r="P75" s="1" t="s">
        <v>586</v>
      </c>
      <c r="Q75" s="1" t="s">
        <v>31</v>
      </c>
    </row>
    <row r="76" spans="1:17" x14ac:dyDescent="0.2">
      <c r="A76" s="1">
        <v>88</v>
      </c>
      <c r="B76" s="1" t="s">
        <v>587</v>
      </c>
      <c r="C76" s="1" t="s">
        <v>588</v>
      </c>
      <c r="D76" s="1" t="s">
        <v>22</v>
      </c>
      <c r="E76" s="1" t="s">
        <v>23</v>
      </c>
      <c r="F76" s="1" t="s">
        <v>589</v>
      </c>
      <c r="G76" s="1" t="s">
        <v>231</v>
      </c>
      <c r="H76" s="1" t="s">
        <v>26</v>
      </c>
      <c r="I76" s="1" t="s">
        <v>590</v>
      </c>
      <c r="J76" s="1" t="s">
        <v>31</v>
      </c>
      <c r="K76" s="1" t="s">
        <v>591</v>
      </c>
      <c r="L76" s="1" t="s">
        <v>592</v>
      </c>
      <c r="M76" s="1" t="s">
        <v>31</v>
      </c>
      <c r="N76" s="1" t="s">
        <v>31</v>
      </c>
      <c r="O76" s="1" t="s">
        <v>31</v>
      </c>
      <c r="P76" s="1" t="s">
        <v>593</v>
      </c>
      <c r="Q76" s="1" t="s">
        <v>31</v>
      </c>
    </row>
    <row r="77" spans="1:17" x14ac:dyDescent="0.2">
      <c r="A77" s="1">
        <v>89</v>
      </c>
      <c r="B77" s="1" t="s">
        <v>594</v>
      </c>
      <c r="C77" s="1" t="s">
        <v>595</v>
      </c>
      <c r="D77" s="1" t="s">
        <v>22</v>
      </c>
      <c r="E77" s="1" t="s">
        <v>23</v>
      </c>
      <c r="F77" s="1" t="s">
        <v>596</v>
      </c>
      <c r="G77" s="1" t="s">
        <v>31</v>
      </c>
      <c r="H77" s="1" t="s">
        <v>87</v>
      </c>
      <c r="I77" s="1" t="s">
        <v>597</v>
      </c>
      <c r="J77" s="1" t="s">
        <v>31</v>
      </c>
      <c r="K77" s="1" t="s">
        <v>598</v>
      </c>
      <c r="L77" s="1" t="s">
        <v>599</v>
      </c>
      <c r="M77" s="1" t="s">
        <v>31</v>
      </c>
      <c r="N77" s="1" t="s">
        <v>31</v>
      </c>
      <c r="O77" s="1" t="s">
        <v>31</v>
      </c>
      <c r="P77" s="1" t="s">
        <v>31</v>
      </c>
      <c r="Q77" s="1" t="s">
        <v>31</v>
      </c>
    </row>
    <row r="78" spans="1:17" x14ac:dyDescent="0.2">
      <c r="A78" s="1">
        <v>90</v>
      </c>
      <c r="B78" s="1" t="s">
        <v>600</v>
      </c>
      <c r="C78" s="1" t="s">
        <v>601</v>
      </c>
      <c r="D78" s="1" t="s">
        <v>22</v>
      </c>
      <c r="E78" s="1" t="s">
        <v>23</v>
      </c>
      <c r="F78" s="1" t="s">
        <v>602</v>
      </c>
      <c r="G78" s="1" t="s">
        <v>224</v>
      </c>
      <c r="H78" s="1" t="s">
        <v>339</v>
      </c>
      <c r="I78" s="1" t="s">
        <v>603</v>
      </c>
      <c r="J78" s="1" t="s">
        <v>31</v>
      </c>
      <c r="K78" s="1" t="s">
        <v>604</v>
      </c>
      <c r="L78" s="1" t="s">
        <v>605</v>
      </c>
      <c r="M78" s="1" t="s">
        <v>31</v>
      </c>
      <c r="N78" s="1" t="s">
        <v>31</v>
      </c>
      <c r="O78" s="1" t="s">
        <v>31</v>
      </c>
      <c r="P78" s="1" t="s">
        <v>31</v>
      </c>
      <c r="Q78" s="1" t="s">
        <v>31</v>
      </c>
    </row>
    <row r="79" spans="1:17" x14ac:dyDescent="0.2">
      <c r="A79" s="1">
        <v>91</v>
      </c>
      <c r="B79" s="1" t="s">
        <v>606</v>
      </c>
      <c r="C79" s="1" t="s">
        <v>607</v>
      </c>
      <c r="D79" s="1" t="s">
        <v>22</v>
      </c>
      <c r="E79" s="1" t="s">
        <v>23</v>
      </c>
      <c r="F79" s="1" t="s">
        <v>608</v>
      </c>
      <c r="G79" s="1" t="s">
        <v>609</v>
      </c>
      <c r="H79" s="1" t="s">
        <v>26</v>
      </c>
      <c r="I79" s="1" t="s">
        <v>610</v>
      </c>
      <c r="J79" s="1" t="s">
        <v>31</v>
      </c>
      <c r="K79" s="1" t="s">
        <v>611</v>
      </c>
      <c r="L79" s="1" t="s">
        <v>612</v>
      </c>
      <c r="M79" s="1" t="s">
        <v>31</v>
      </c>
      <c r="N79" s="1" t="s">
        <v>31</v>
      </c>
      <c r="O79" s="1" t="s">
        <v>31</v>
      </c>
      <c r="P79" s="1" t="s">
        <v>613</v>
      </c>
      <c r="Q79" s="1" t="s">
        <v>31</v>
      </c>
    </row>
    <row r="80" spans="1:17" x14ac:dyDescent="0.2">
      <c r="A80" s="1">
        <v>92</v>
      </c>
      <c r="B80" s="1" t="s">
        <v>614</v>
      </c>
      <c r="C80" s="1" t="s">
        <v>615</v>
      </c>
      <c r="D80" s="1" t="s">
        <v>22</v>
      </c>
      <c r="E80" s="1" t="s">
        <v>23</v>
      </c>
      <c r="F80" s="1" t="s">
        <v>616</v>
      </c>
      <c r="G80" s="1" t="s">
        <v>31</v>
      </c>
      <c r="H80" s="1" t="s">
        <v>202</v>
      </c>
      <c r="I80" s="1" t="s">
        <v>617</v>
      </c>
      <c r="J80" s="1" t="s">
        <v>618</v>
      </c>
      <c r="K80" s="1" t="s">
        <v>619</v>
      </c>
      <c r="L80" s="1" t="s">
        <v>620</v>
      </c>
      <c r="M80" s="1" t="s">
        <v>31</v>
      </c>
      <c r="N80" s="1" t="s">
        <v>31</v>
      </c>
      <c r="O80" s="1" t="s">
        <v>31</v>
      </c>
      <c r="P80" s="1" t="s">
        <v>31</v>
      </c>
      <c r="Q80" s="1" t="s">
        <v>31</v>
      </c>
    </row>
    <row r="81" spans="1:17" x14ac:dyDescent="0.2">
      <c r="A81" s="1">
        <v>94</v>
      </c>
      <c r="B81" s="1" t="s">
        <v>621</v>
      </c>
      <c r="C81" s="1" t="s">
        <v>622</v>
      </c>
      <c r="D81" s="1" t="s">
        <v>22</v>
      </c>
      <c r="E81" s="1" t="s">
        <v>23</v>
      </c>
      <c r="F81" s="1" t="s">
        <v>623</v>
      </c>
      <c r="G81" s="1" t="s">
        <v>61</v>
      </c>
      <c r="H81" s="1" t="s">
        <v>26</v>
      </c>
      <c r="I81" s="1" t="s">
        <v>624</v>
      </c>
      <c r="J81" s="1" t="s">
        <v>624</v>
      </c>
      <c r="K81" s="1" t="s">
        <v>625</v>
      </c>
      <c r="L81" s="1" t="s">
        <v>626</v>
      </c>
      <c r="M81" s="1" t="s">
        <v>31</v>
      </c>
      <c r="N81" s="1" t="s">
        <v>627</v>
      </c>
      <c r="O81" s="1" t="s">
        <v>31</v>
      </c>
      <c r="P81" s="1" t="s">
        <v>628</v>
      </c>
      <c r="Q81" s="1" t="s">
        <v>31</v>
      </c>
    </row>
    <row r="82" spans="1:17" x14ac:dyDescent="0.2">
      <c r="A82" s="1">
        <v>95</v>
      </c>
      <c r="B82" s="1" t="s">
        <v>629</v>
      </c>
      <c r="C82" s="1" t="s">
        <v>630</v>
      </c>
      <c r="D82" s="1" t="s">
        <v>22</v>
      </c>
      <c r="E82" s="1" t="s">
        <v>23</v>
      </c>
      <c r="F82" s="1" t="s">
        <v>631</v>
      </c>
      <c r="G82" s="1" t="s">
        <v>176</v>
      </c>
      <c r="H82" s="1" t="s">
        <v>26</v>
      </c>
      <c r="I82" s="1" t="s">
        <v>632</v>
      </c>
      <c r="J82" s="1" t="s">
        <v>633</v>
      </c>
      <c r="K82" s="1" t="s">
        <v>634</v>
      </c>
      <c r="L82" s="1" t="s">
        <v>635</v>
      </c>
      <c r="M82" s="1" t="s">
        <v>31</v>
      </c>
      <c r="N82" s="1" t="s">
        <v>31</v>
      </c>
      <c r="O82" s="1" t="s">
        <v>31</v>
      </c>
      <c r="P82" s="1" t="s">
        <v>636</v>
      </c>
      <c r="Q82" s="1" t="s">
        <v>31</v>
      </c>
    </row>
    <row r="83" spans="1:17" x14ac:dyDescent="0.2">
      <c r="A83" s="1">
        <v>96</v>
      </c>
      <c r="B83" s="1" t="s">
        <v>637</v>
      </c>
      <c r="C83" s="1" t="s">
        <v>638</v>
      </c>
      <c r="D83" s="1" t="s">
        <v>22</v>
      </c>
      <c r="E83" s="1" t="s">
        <v>23</v>
      </c>
      <c r="F83" s="1" t="s">
        <v>639</v>
      </c>
      <c r="G83" s="1" t="s">
        <v>217</v>
      </c>
      <c r="H83" s="1" t="s">
        <v>202</v>
      </c>
      <c r="I83" s="1" t="s">
        <v>640</v>
      </c>
      <c r="J83" s="1" t="s">
        <v>31</v>
      </c>
      <c r="K83" s="1" t="s">
        <v>641</v>
      </c>
      <c r="L83" s="1" t="s">
        <v>31</v>
      </c>
      <c r="M83" s="1" t="s">
        <v>31</v>
      </c>
      <c r="N83" s="1" t="s">
        <v>31</v>
      </c>
      <c r="O83" s="1" t="s">
        <v>31</v>
      </c>
      <c r="P83" s="1" t="s">
        <v>31</v>
      </c>
      <c r="Q83" s="1" t="s">
        <v>31</v>
      </c>
    </row>
    <row r="84" spans="1:17" x14ac:dyDescent="0.2">
      <c r="A84" s="1">
        <v>97</v>
      </c>
      <c r="B84" s="1" t="s">
        <v>642</v>
      </c>
      <c r="C84" s="1" t="s">
        <v>643</v>
      </c>
      <c r="D84" s="1" t="s">
        <v>22</v>
      </c>
      <c r="E84" s="1" t="s">
        <v>23</v>
      </c>
      <c r="F84" s="1" t="s">
        <v>644</v>
      </c>
      <c r="G84" s="1" t="s">
        <v>31</v>
      </c>
      <c r="H84" s="1" t="s">
        <v>87</v>
      </c>
      <c r="I84" s="1" t="s">
        <v>645</v>
      </c>
      <c r="J84" s="1" t="s">
        <v>646</v>
      </c>
      <c r="K84" s="1" t="s">
        <v>647</v>
      </c>
      <c r="L84" s="1" t="s">
        <v>648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31</v>
      </c>
    </row>
    <row r="85" spans="1:17" x14ac:dyDescent="0.2">
      <c r="A85" s="1">
        <v>98</v>
      </c>
      <c r="B85" s="1" t="s">
        <v>649</v>
      </c>
      <c r="C85" s="1" t="s">
        <v>650</v>
      </c>
      <c r="D85" s="1" t="s">
        <v>22</v>
      </c>
      <c r="E85" s="1" t="s">
        <v>23</v>
      </c>
      <c r="F85" s="1" t="s">
        <v>651</v>
      </c>
      <c r="G85" s="1" t="s">
        <v>402</v>
      </c>
      <c r="H85" s="1" t="s">
        <v>26</v>
      </c>
      <c r="I85" s="1" t="s">
        <v>652</v>
      </c>
      <c r="J85" s="1" t="s">
        <v>31</v>
      </c>
      <c r="K85" s="1" t="s">
        <v>653</v>
      </c>
      <c r="L85" s="1" t="s">
        <v>654</v>
      </c>
      <c r="M85" s="1" t="s">
        <v>31</v>
      </c>
      <c r="N85" s="1" t="s">
        <v>31</v>
      </c>
      <c r="O85" s="1" t="s">
        <v>31</v>
      </c>
      <c r="P85" s="1" t="s">
        <v>655</v>
      </c>
      <c r="Q85" s="1" t="s">
        <v>31</v>
      </c>
    </row>
    <row r="86" spans="1:17" x14ac:dyDescent="0.2">
      <c r="A86" s="1">
        <v>100</v>
      </c>
      <c r="B86" s="1" t="s">
        <v>656</v>
      </c>
      <c r="C86" s="1" t="s">
        <v>657</v>
      </c>
      <c r="D86" s="1" t="s">
        <v>22</v>
      </c>
      <c r="E86" s="1" t="s">
        <v>23</v>
      </c>
      <c r="F86" s="1" t="s">
        <v>658</v>
      </c>
      <c r="G86" s="1" t="s">
        <v>659</v>
      </c>
      <c r="H86" s="1" t="s">
        <v>26</v>
      </c>
      <c r="I86" s="1" t="s">
        <v>660</v>
      </c>
      <c r="J86" s="1" t="s">
        <v>661</v>
      </c>
      <c r="K86" s="1" t="s">
        <v>662</v>
      </c>
      <c r="L86" s="1" t="s">
        <v>663</v>
      </c>
      <c r="M86" s="1" t="s">
        <v>31</v>
      </c>
      <c r="N86" s="1" t="s">
        <v>31</v>
      </c>
      <c r="O86" s="1" t="s">
        <v>31</v>
      </c>
      <c r="P86" s="1" t="s">
        <v>664</v>
      </c>
      <c r="Q86" s="1" t="s">
        <v>31</v>
      </c>
    </row>
    <row r="87" spans="1:17" x14ac:dyDescent="0.2">
      <c r="A87" s="1">
        <v>101</v>
      </c>
      <c r="B87" s="1" t="s">
        <v>665</v>
      </c>
      <c r="C87" s="1" t="s">
        <v>666</v>
      </c>
      <c r="D87" s="1" t="s">
        <v>22</v>
      </c>
      <c r="E87" s="1" t="s">
        <v>23</v>
      </c>
      <c r="F87" s="1" t="s">
        <v>667</v>
      </c>
      <c r="G87" s="1" t="s">
        <v>668</v>
      </c>
      <c r="H87" s="1" t="s">
        <v>202</v>
      </c>
      <c r="I87" s="1" t="s">
        <v>669</v>
      </c>
      <c r="J87" s="1" t="s">
        <v>31</v>
      </c>
      <c r="K87" s="1" t="s">
        <v>670</v>
      </c>
      <c r="L87" s="1" t="s">
        <v>671</v>
      </c>
      <c r="M87" s="1" t="s">
        <v>31</v>
      </c>
      <c r="N87" s="1" t="s">
        <v>31</v>
      </c>
      <c r="O87" s="1" t="s">
        <v>31</v>
      </c>
      <c r="P87" s="1" t="s">
        <v>31</v>
      </c>
      <c r="Q87" s="1" t="s">
        <v>31</v>
      </c>
    </row>
    <row r="88" spans="1:17" x14ac:dyDescent="0.2">
      <c r="A88" s="1">
        <v>102</v>
      </c>
      <c r="B88" s="1" t="s">
        <v>672</v>
      </c>
      <c r="C88" s="1" t="s">
        <v>673</v>
      </c>
      <c r="D88" s="1" t="s">
        <v>22</v>
      </c>
      <c r="E88" s="1" t="s">
        <v>391</v>
      </c>
      <c r="F88" s="1" t="s">
        <v>674</v>
      </c>
      <c r="G88" s="1" t="s">
        <v>675</v>
      </c>
      <c r="H88" s="1" t="s">
        <v>26</v>
      </c>
      <c r="I88" s="1" t="s">
        <v>676</v>
      </c>
      <c r="J88" s="1" t="s">
        <v>31</v>
      </c>
      <c r="K88" s="1" t="s">
        <v>677</v>
      </c>
      <c r="L88" s="1" t="s">
        <v>31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31</v>
      </c>
    </row>
    <row r="89" spans="1:17" x14ac:dyDescent="0.2">
      <c r="A89" s="1">
        <v>103</v>
      </c>
      <c r="B89" s="1" t="s">
        <v>678</v>
      </c>
      <c r="C89" s="1" t="s">
        <v>679</v>
      </c>
      <c r="D89" s="1" t="s">
        <v>35</v>
      </c>
      <c r="E89" s="1" t="s">
        <v>23</v>
      </c>
      <c r="F89" s="1" t="s">
        <v>680</v>
      </c>
      <c r="G89" s="1" t="s">
        <v>681</v>
      </c>
      <c r="H89" s="1" t="s">
        <v>87</v>
      </c>
      <c r="I89" s="1" t="s">
        <v>682</v>
      </c>
      <c r="J89" s="1" t="s">
        <v>683</v>
      </c>
      <c r="K89" s="1" t="s">
        <v>318</v>
      </c>
      <c r="L89" s="1" t="s">
        <v>684</v>
      </c>
      <c r="M89" s="1" t="s">
        <v>31</v>
      </c>
      <c r="N89" s="1" t="s">
        <v>31</v>
      </c>
      <c r="O89" s="1" t="s">
        <v>31</v>
      </c>
      <c r="P89" s="1" t="s">
        <v>685</v>
      </c>
      <c r="Q89" s="1" t="s">
        <v>31</v>
      </c>
    </row>
    <row r="90" spans="1:17" x14ac:dyDescent="0.2">
      <c r="A90" s="1">
        <v>104</v>
      </c>
      <c r="B90" s="1" t="s">
        <v>686</v>
      </c>
      <c r="C90" s="1" t="s">
        <v>687</v>
      </c>
      <c r="D90" s="1" t="s">
        <v>22</v>
      </c>
      <c r="E90" s="1" t="s">
        <v>23</v>
      </c>
      <c r="F90" s="1" t="s">
        <v>688</v>
      </c>
      <c r="G90" s="1" t="s">
        <v>31</v>
      </c>
      <c r="H90" s="1" t="s">
        <v>87</v>
      </c>
      <c r="I90" s="1" t="s">
        <v>689</v>
      </c>
      <c r="J90" s="1" t="s">
        <v>690</v>
      </c>
      <c r="K90" s="1" t="s">
        <v>691</v>
      </c>
      <c r="L90" s="1" t="s">
        <v>692</v>
      </c>
      <c r="M90" s="1" t="s">
        <v>31</v>
      </c>
      <c r="N90" s="1" t="s">
        <v>31</v>
      </c>
      <c r="O90" s="1" t="s">
        <v>31</v>
      </c>
      <c r="P90" s="1" t="s">
        <v>31</v>
      </c>
      <c r="Q90" s="1" t="s">
        <v>31</v>
      </c>
    </row>
    <row r="91" spans="1:17" x14ac:dyDescent="0.2">
      <c r="A91" s="1">
        <v>105</v>
      </c>
      <c r="B91" s="1" t="s">
        <v>693</v>
      </c>
      <c r="C91" s="1" t="s">
        <v>694</v>
      </c>
      <c r="D91" s="1" t="s">
        <v>22</v>
      </c>
      <c r="E91" s="1" t="s">
        <v>23</v>
      </c>
      <c r="F91" s="1" t="s">
        <v>695</v>
      </c>
      <c r="G91" s="1" t="s">
        <v>217</v>
      </c>
      <c r="H91" s="1" t="s">
        <v>202</v>
      </c>
      <c r="I91" s="1" t="s">
        <v>696</v>
      </c>
      <c r="J91" s="1" t="s">
        <v>697</v>
      </c>
      <c r="K91" s="1" t="s">
        <v>698</v>
      </c>
      <c r="L91" s="1" t="s">
        <v>699</v>
      </c>
      <c r="M91" s="1" t="s">
        <v>31</v>
      </c>
      <c r="N91" s="1" t="s">
        <v>31</v>
      </c>
      <c r="O91" s="1" t="s">
        <v>31</v>
      </c>
      <c r="P91" s="1" t="s">
        <v>31</v>
      </c>
      <c r="Q91" s="1" t="s">
        <v>31</v>
      </c>
    </row>
    <row r="92" spans="1:17" x14ac:dyDescent="0.2">
      <c r="A92" s="1">
        <v>106</v>
      </c>
      <c r="B92" s="1" t="s">
        <v>700</v>
      </c>
      <c r="C92" s="1" t="s">
        <v>701</v>
      </c>
      <c r="D92" s="1" t="s">
        <v>22</v>
      </c>
      <c r="E92" s="1" t="s">
        <v>23</v>
      </c>
      <c r="F92" s="1" t="s">
        <v>702</v>
      </c>
      <c r="G92" s="1" t="s">
        <v>703</v>
      </c>
      <c r="H92" s="1" t="s">
        <v>26</v>
      </c>
      <c r="I92" s="1" t="s">
        <v>704</v>
      </c>
      <c r="J92" s="1" t="s">
        <v>31</v>
      </c>
      <c r="K92" s="1" t="s">
        <v>705</v>
      </c>
      <c r="L92" s="1" t="s">
        <v>706</v>
      </c>
      <c r="M92" s="1" t="s">
        <v>31</v>
      </c>
      <c r="N92" s="1" t="s">
        <v>31</v>
      </c>
      <c r="O92" s="1" t="s">
        <v>31</v>
      </c>
      <c r="P92" s="1" t="s">
        <v>707</v>
      </c>
      <c r="Q92" s="1" t="s">
        <v>31</v>
      </c>
    </row>
    <row r="93" spans="1:17" x14ac:dyDescent="0.2">
      <c r="A93" s="1">
        <v>107</v>
      </c>
      <c r="B93" s="1" t="s">
        <v>708</v>
      </c>
      <c r="C93" s="1" t="s">
        <v>709</v>
      </c>
      <c r="D93" s="1" t="s">
        <v>22</v>
      </c>
      <c r="E93" s="1" t="s">
        <v>23</v>
      </c>
      <c r="F93" s="1" t="s">
        <v>710</v>
      </c>
      <c r="G93" s="1" t="s">
        <v>711</v>
      </c>
      <c r="H93" s="1" t="s">
        <v>26</v>
      </c>
      <c r="I93" s="1" t="s">
        <v>712</v>
      </c>
      <c r="J93" s="1" t="s">
        <v>31</v>
      </c>
      <c r="K93" s="1" t="s">
        <v>713</v>
      </c>
      <c r="L93" s="1" t="s">
        <v>714</v>
      </c>
      <c r="M93" s="1" t="s">
        <v>31</v>
      </c>
      <c r="N93" s="1" t="s">
        <v>31</v>
      </c>
      <c r="O93" s="1" t="s">
        <v>31</v>
      </c>
      <c r="P93" s="1" t="s">
        <v>715</v>
      </c>
      <c r="Q93" s="1" t="s">
        <v>31</v>
      </c>
    </row>
    <row r="94" spans="1:17" x14ac:dyDescent="0.2">
      <c r="A94" s="1">
        <v>108</v>
      </c>
      <c r="B94" s="1" t="s">
        <v>716</v>
      </c>
      <c r="C94" s="1" t="s">
        <v>717</v>
      </c>
      <c r="D94" s="1" t="s">
        <v>35</v>
      </c>
      <c r="E94" s="1" t="s">
        <v>23</v>
      </c>
      <c r="F94" s="1" t="s">
        <v>718</v>
      </c>
      <c r="G94" s="1" t="s">
        <v>719</v>
      </c>
      <c r="H94" s="1" t="s">
        <v>720</v>
      </c>
      <c r="I94" s="1" t="s">
        <v>721</v>
      </c>
      <c r="J94" s="1" t="s">
        <v>722</v>
      </c>
      <c r="K94" s="1" t="s">
        <v>723</v>
      </c>
      <c r="L94" s="1" t="s">
        <v>724</v>
      </c>
      <c r="M94" s="1" t="s">
        <v>31</v>
      </c>
      <c r="N94" s="1" t="s">
        <v>31</v>
      </c>
      <c r="O94" s="1" t="s">
        <v>31</v>
      </c>
      <c r="P94" s="1" t="s">
        <v>31</v>
      </c>
      <c r="Q94" s="1" t="s">
        <v>31</v>
      </c>
    </row>
    <row r="95" spans="1:17" x14ac:dyDescent="0.2">
      <c r="A95" s="1">
        <v>109</v>
      </c>
      <c r="B95" s="1" t="s">
        <v>725</v>
      </c>
      <c r="C95" s="1" t="s">
        <v>726</v>
      </c>
      <c r="D95" s="1" t="s">
        <v>22</v>
      </c>
      <c r="E95" s="1" t="s">
        <v>23</v>
      </c>
      <c r="F95" s="1" t="s">
        <v>727</v>
      </c>
      <c r="G95" s="1" t="s">
        <v>728</v>
      </c>
      <c r="H95" s="1" t="s">
        <v>26</v>
      </c>
      <c r="I95" s="1" t="s">
        <v>729</v>
      </c>
      <c r="J95" s="1" t="s">
        <v>138</v>
      </c>
      <c r="K95" s="1" t="s">
        <v>730</v>
      </c>
      <c r="L95" s="1" t="s">
        <v>140</v>
      </c>
      <c r="M95" s="1" t="s">
        <v>31</v>
      </c>
      <c r="N95" s="1" t="s">
        <v>31</v>
      </c>
      <c r="O95" s="1" t="s">
        <v>31</v>
      </c>
      <c r="P95" s="1" t="s">
        <v>731</v>
      </c>
      <c r="Q95" s="1" t="s">
        <v>31</v>
      </c>
    </row>
    <row r="96" spans="1:17" x14ac:dyDescent="0.2">
      <c r="A96" s="1">
        <v>110</v>
      </c>
      <c r="B96" s="1" t="s">
        <v>732</v>
      </c>
      <c r="C96" s="1" t="s">
        <v>733</v>
      </c>
      <c r="D96" s="1" t="s">
        <v>22</v>
      </c>
      <c r="E96" s="1" t="s">
        <v>23</v>
      </c>
      <c r="F96" s="1" t="s">
        <v>734</v>
      </c>
      <c r="G96" s="1" t="s">
        <v>735</v>
      </c>
      <c r="H96" s="1" t="s">
        <v>26</v>
      </c>
      <c r="I96" s="1" t="s">
        <v>736</v>
      </c>
      <c r="J96" s="1" t="s">
        <v>31</v>
      </c>
      <c r="K96" s="1" t="s">
        <v>737</v>
      </c>
      <c r="L96" s="1" t="s">
        <v>738</v>
      </c>
      <c r="M96" s="1" t="s">
        <v>31</v>
      </c>
      <c r="N96" s="1" t="s">
        <v>31</v>
      </c>
      <c r="O96" s="1" t="s">
        <v>31</v>
      </c>
      <c r="P96" s="1" t="s">
        <v>31</v>
      </c>
      <c r="Q96" s="1" t="s">
        <v>31</v>
      </c>
    </row>
    <row r="97" spans="1:17" x14ac:dyDescent="0.2">
      <c r="A97" s="1">
        <v>111</v>
      </c>
      <c r="B97" s="1" t="s">
        <v>739</v>
      </c>
      <c r="C97" s="1" t="s">
        <v>740</v>
      </c>
      <c r="D97" s="1" t="s">
        <v>22</v>
      </c>
      <c r="E97" s="1" t="s">
        <v>23</v>
      </c>
      <c r="F97" s="1" t="s">
        <v>741</v>
      </c>
      <c r="G97" s="1" t="s">
        <v>742</v>
      </c>
      <c r="H97" s="1" t="s">
        <v>26</v>
      </c>
      <c r="I97" s="1" t="s">
        <v>743</v>
      </c>
      <c r="J97" s="1" t="s">
        <v>744</v>
      </c>
      <c r="K97" s="1" t="s">
        <v>745</v>
      </c>
      <c r="L97" s="1" t="s">
        <v>746</v>
      </c>
      <c r="M97" s="1" t="s">
        <v>31</v>
      </c>
      <c r="N97" s="1" t="s">
        <v>31</v>
      </c>
      <c r="O97" s="1" t="s">
        <v>31</v>
      </c>
      <c r="P97" s="1" t="s">
        <v>747</v>
      </c>
      <c r="Q97" s="1" t="s">
        <v>31</v>
      </c>
    </row>
    <row r="98" spans="1:17" x14ac:dyDescent="0.2">
      <c r="A98" s="1">
        <v>112</v>
      </c>
      <c r="B98" s="1" t="s">
        <v>748</v>
      </c>
      <c r="C98" s="1" t="s">
        <v>749</v>
      </c>
      <c r="D98" s="1" t="s">
        <v>35</v>
      </c>
      <c r="E98" s="1" t="s">
        <v>391</v>
      </c>
      <c r="F98" s="1" t="s">
        <v>750</v>
      </c>
      <c r="G98" s="1" t="s">
        <v>393</v>
      </c>
      <c r="H98" s="1" t="s">
        <v>394</v>
      </c>
      <c r="I98" s="1" t="s">
        <v>751</v>
      </c>
      <c r="J98" s="1" t="s">
        <v>752</v>
      </c>
      <c r="K98" s="1" t="s">
        <v>753</v>
      </c>
      <c r="L98" s="1" t="s">
        <v>754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31</v>
      </c>
    </row>
    <row r="99" spans="1:17" x14ac:dyDescent="0.2">
      <c r="A99" s="1">
        <v>113</v>
      </c>
      <c r="B99" s="1" t="s">
        <v>755</v>
      </c>
      <c r="C99" s="1" t="s">
        <v>756</v>
      </c>
      <c r="D99" s="1" t="s">
        <v>22</v>
      </c>
      <c r="E99" s="1" t="s">
        <v>23</v>
      </c>
      <c r="F99" s="1" t="s">
        <v>757</v>
      </c>
      <c r="G99" s="1" t="s">
        <v>548</v>
      </c>
      <c r="H99" s="1" t="s">
        <v>26</v>
      </c>
      <c r="I99" s="1" t="s">
        <v>758</v>
      </c>
      <c r="J99" s="1" t="s">
        <v>759</v>
      </c>
      <c r="K99" s="1" t="s">
        <v>760</v>
      </c>
      <c r="L99" s="1" t="s">
        <v>761</v>
      </c>
      <c r="M99" s="1" t="s">
        <v>31</v>
      </c>
      <c r="N99" s="1" t="s">
        <v>31</v>
      </c>
      <c r="O99" s="1" t="s">
        <v>31</v>
      </c>
      <c r="P99" s="1" t="s">
        <v>762</v>
      </c>
      <c r="Q99" s="1" t="s">
        <v>31</v>
      </c>
    </row>
    <row r="100" spans="1:17" x14ac:dyDescent="0.2">
      <c r="A100" s="1">
        <v>114</v>
      </c>
      <c r="B100" s="1" t="s">
        <v>763</v>
      </c>
      <c r="C100" s="1" t="s">
        <v>764</v>
      </c>
      <c r="D100" s="1" t="s">
        <v>35</v>
      </c>
      <c r="E100" s="1" t="s">
        <v>23</v>
      </c>
      <c r="F100" s="1" t="s">
        <v>765</v>
      </c>
      <c r="G100" s="1" t="s">
        <v>766</v>
      </c>
      <c r="H100" s="1" t="s">
        <v>339</v>
      </c>
      <c r="I100" s="1" t="s">
        <v>767</v>
      </c>
      <c r="J100" s="1" t="s">
        <v>31</v>
      </c>
      <c r="K100" s="1" t="s">
        <v>768</v>
      </c>
      <c r="L100" s="1" t="s">
        <v>769</v>
      </c>
      <c r="M100" s="1" t="s">
        <v>31</v>
      </c>
      <c r="N100" s="1" t="s">
        <v>31</v>
      </c>
      <c r="O100" s="1" t="s">
        <v>31</v>
      </c>
      <c r="P100" s="1" t="s">
        <v>770</v>
      </c>
      <c r="Q100" s="1" t="s">
        <v>31</v>
      </c>
    </row>
    <row r="101" spans="1:17" x14ac:dyDescent="0.2">
      <c r="A101" s="1">
        <v>116</v>
      </c>
      <c r="B101" s="1" t="s">
        <v>771</v>
      </c>
      <c r="C101" s="1" t="s">
        <v>772</v>
      </c>
      <c r="D101" s="1" t="s">
        <v>22</v>
      </c>
      <c r="E101" s="1" t="s">
        <v>23</v>
      </c>
      <c r="F101" s="1" t="s">
        <v>773</v>
      </c>
      <c r="G101" s="1" t="s">
        <v>217</v>
      </c>
      <c r="H101" s="1" t="s">
        <v>202</v>
      </c>
      <c r="I101" s="1" t="s">
        <v>774</v>
      </c>
      <c r="J101" s="1" t="s">
        <v>31</v>
      </c>
      <c r="K101" s="1" t="s">
        <v>775</v>
      </c>
      <c r="L101" s="1" t="s">
        <v>31</v>
      </c>
      <c r="M101" s="1" t="s">
        <v>31</v>
      </c>
      <c r="N101" s="1" t="s">
        <v>31</v>
      </c>
      <c r="O101" s="1" t="s">
        <v>31</v>
      </c>
      <c r="P101" s="1" t="s">
        <v>31</v>
      </c>
      <c r="Q101" s="1" t="s">
        <v>31</v>
      </c>
    </row>
    <row r="102" spans="1:17" x14ac:dyDescent="0.2">
      <c r="A102" s="1">
        <v>117</v>
      </c>
      <c r="B102" s="1" t="s">
        <v>776</v>
      </c>
      <c r="C102" s="1" t="s">
        <v>777</v>
      </c>
      <c r="D102" s="1" t="s">
        <v>22</v>
      </c>
      <c r="E102" s="1" t="s">
        <v>23</v>
      </c>
      <c r="F102" s="1" t="s">
        <v>778</v>
      </c>
      <c r="G102" s="1" t="s">
        <v>53</v>
      </c>
      <c r="H102" s="1" t="s">
        <v>26</v>
      </c>
      <c r="I102" s="1" t="s">
        <v>779</v>
      </c>
      <c r="J102" s="1" t="s">
        <v>780</v>
      </c>
      <c r="K102" s="1" t="s">
        <v>781</v>
      </c>
      <c r="L102" s="1" t="s">
        <v>782</v>
      </c>
      <c r="M102" s="1" t="s">
        <v>31</v>
      </c>
      <c r="N102" s="1" t="s">
        <v>31</v>
      </c>
      <c r="O102" s="1" t="s">
        <v>31</v>
      </c>
      <c r="P102" s="1" t="s">
        <v>783</v>
      </c>
      <c r="Q102" s="1" t="s">
        <v>31</v>
      </c>
    </row>
    <row r="103" spans="1:17" x14ac:dyDescent="0.2">
      <c r="A103" s="1">
        <v>118</v>
      </c>
      <c r="B103" s="1" t="s">
        <v>784</v>
      </c>
      <c r="C103" s="1" t="s">
        <v>785</v>
      </c>
      <c r="D103" s="1" t="s">
        <v>22</v>
      </c>
      <c r="E103" s="1" t="s">
        <v>23</v>
      </c>
      <c r="F103" s="1" t="s">
        <v>786</v>
      </c>
      <c r="G103" s="1" t="s">
        <v>787</v>
      </c>
      <c r="H103" s="1" t="s">
        <v>26</v>
      </c>
      <c r="I103" s="1" t="s">
        <v>788</v>
      </c>
      <c r="J103" s="1" t="s">
        <v>789</v>
      </c>
      <c r="K103" s="1" t="s">
        <v>790</v>
      </c>
      <c r="L103" s="1" t="s">
        <v>791</v>
      </c>
      <c r="M103" s="1" t="s">
        <v>31</v>
      </c>
      <c r="N103" s="1" t="s">
        <v>31</v>
      </c>
      <c r="O103" s="1" t="s">
        <v>31</v>
      </c>
      <c r="P103" s="1" t="s">
        <v>792</v>
      </c>
      <c r="Q103" s="1" t="s">
        <v>31</v>
      </c>
    </row>
    <row r="104" spans="1:17" x14ac:dyDescent="0.2">
      <c r="A104" s="1">
        <v>119</v>
      </c>
      <c r="B104" s="1" t="s">
        <v>793</v>
      </c>
      <c r="C104" s="1" t="s">
        <v>794</v>
      </c>
      <c r="D104" s="1" t="s">
        <v>22</v>
      </c>
      <c r="E104" s="1" t="s">
        <v>23</v>
      </c>
      <c r="F104" s="1" t="s">
        <v>795</v>
      </c>
      <c r="G104" s="1" t="s">
        <v>796</v>
      </c>
      <c r="H104" s="1" t="s">
        <v>26</v>
      </c>
      <c r="I104" s="1" t="s">
        <v>797</v>
      </c>
      <c r="J104" s="1" t="s">
        <v>31</v>
      </c>
      <c r="K104" s="1" t="s">
        <v>798</v>
      </c>
      <c r="L104" s="1" t="s">
        <v>799</v>
      </c>
      <c r="M104" s="1" t="s">
        <v>31</v>
      </c>
      <c r="N104" s="1" t="s">
        <v>31</v>
      </c>
      <c r="O104" s="1" t="s">
        <v>31</v>
      </c>
      <c r="P104" s="1" t="s">
        <v>800</v>
      </c>
      <c r="Q104" s="1" t="s">
        <v>31</v>
      </c>
    </row>
    <row r="105" spans="1:17" x14ac:dyDescent="0.2">
      <c r="A105" s="1">
        <v>120</v>
      </c>
      <c r="B105" s="1" t="s">
        <v>801</v>
      </c>
      <c r="C105" s="1" t="s">
        <v>802</v>
      </c>
      <c r="D105" s="1" t="s">
        <v>22</v>
      </c>
      <c r="E105" s="1" t="s">
        <v>23</v>
      </c>
      <c r="F105" s="1" t="s">
        <v>803</v>
      </c>
      <c r="G105" s="1" t="s">
        <v>31</v>
      </c>
      <c r="H105" s="1" t="s">
        <v>87</v>
      </c>
      <c r="I105" s="1" t="s">
        <v>804</v>
      </c>
      <c r="J105" s="1" t="s">
        <v>804</v>
      </c>
      <c r="K105" s="1" t="s">
        <v>805</v>
      </c>
      <c r="L105" s="1" t="s">
        <v>806</v>
      </c>
      <c r="M105" s="1" t="s">
        <v>31</v>
      </c>
      <c r="N105" s="1" t="s">
        <v>31</v>
      </c>
      <c r="O105" s="1" t="s">
        <v>31</v>
      </c>
      <c r="P105" s="1" t="s">
        <v>31</v>
      </c>
      <c r="Q105" s="1" t="s">
        <v>31</v>
      </c>
    </row>
    <row r="106" spans="1:17" x14ac:dyDescent="0.2">
      <c r="A106" s="1">
        <v>121</v>
      </c>
      <c r="B106" s="1" t="s">
        <v>807</v>
      </c>
      <c r="C106" s="1" t="s">
        <v>808</v>
      </c>
      <c r="D106" s="1" t="s">
        <v>22</v>
      </c>
      <c r="E106" s="1" t="s">
        <v>23</v>
      </c>
      <c r="F106" s="1" t="s">
        <v>809</v>
      </c>
      <c r="G106" s="1" t="s">
        <v>711</v>
      </c>
      <c r="H106" s="1" t="s">
        <v>26</v>
      </c>
      <c r="I106" s="1" t="s">
        <v>810</v>
      </c>
      <c r="J106" s="1" t="s">
        <v>811</v>
      </c>
      <c r="K106" s="1" t="s">
        <v>812</v>
      </c>
      <c r="L106" s="1" t="s">
        <v>813</v>
      </c>
      <c r="M106" s="1" t="s">
        <v>31</v>
      </c>
      <c r="N106" s="1" t="s">
        <v>31</v>
      </c>
      <c r="O106" s="1" t="s">
        <v>31</v>
      </c>
      <c r="P106" s="1" t="s">
        <v>814</v>
      </c>
      <c r="Q106" s="1" t="s">
        <v>31</v>
      </c>
    </row>
    <row r="107" spans="1:17" x14ac:dyDescent="0.2">
      <c r="A107" s="1">
        <v>122</v>
      </c>
      <c r="B107" s="1" t="s">
        <v>815</v>
      </c>
      <c r="C107" s="1" t="s">
        <v>816</v>
      </c>
      <c r="D107" s="1" t="s">
        <v>22</v>
      </c>
      <c r="E107" s="1" t="s">
        <v>23</v>
      </c>
      <c r="F107" s="1" t="s">
        <v>817</v>
      </c>
      <c r="G107" s="1" t="s">
        <v>818</v>
      </c>
      <c r="H107" s="1" t="s">
        <v>26</v>
      </c>
      <c r="I107" s="1" t="s">
        <v>819</v>
      </c>
      <c r="J107" s="1" t="s">
        <v>31</v>
      </c>
      <c r="K107" s="1" t="s">
        <v>820</v>
      </c>
      <c r="L107" s="1" t="s">
        <v>821</v>
      </c>
      <c r="M107" s="1" t="s">
        <v>31</v>
      </c>
      <c r="N107" s="1" t="s">
        <v>31</v>
      </c>
      <c r="O107" s="1" t="s">
        <v>31</v>
      </c>
      <c r="P107" s="1" t="s">
        <v>822</v>
      </c>
      <c r="Q107" s="1" t="s">
        <v>31</v>
      </c>
    </row>
    <row r="108" spans="1:17" x14ac:dyDescent="0.2">
      <c r="A108" s="1">
        <v>124</v>
      </c>
      <c r="B108" s="1" t="s">
        <v>823</v>
      </c>
      <c r="C108" s="1" t="s">
        <v>824</v>
      </c>
      <c r="D108" s="1" t="s">
        <v>22</v>
      </c>
      <c r="E108" s="1" t="s">
        <v>23</v>
      </c>
      <c r="F108" s="1" t="s">
        <v>825</v>
      </c>
      <c r="G108" s="1" t="s">
        <v>826</v>
      </c>
      <c r="H108" s="1" t="s">
        <v>26</v>
      </c>
      <c r="I108" s="1" t="s">
        <v>827</v>
      </c>
      <c r="J108" s="1" t="s">
        <v>31</v>
      </c>
      <c r="K108" s="1" t="s">
        <v>828</v>
      </c>
      <c r="L108" s="1" t="s">
        <v>829</v>
      </c>
      <c r="M108" s="1" t="s">
        <v>31</v>
      </c>
      <c r="N108" s="1" t="s">
        <v>31</v>
      </c>
      <c r="O108" s="1" t="s">
        <v>31</v>
      </c>
      <c r="P108" s="1" t="s">
        <v>830</v>
      </c>
      <c r="Q108" s="1" t="s">
        <v>31</v>
      </c>
    </row>
    <row r="109" spans="1:17" x14ac:dyDescent="0.2">
      <c r="A109" s="1">
        <v>125</v>
      </c>
      <c r="B109" s="1" t="s">
        <v>831</v>
      </c>
      <c r="C109" s="1" t="s">
        <v>832</v>
      </c>
      <c r="D109" s="1" t="s">
        <v>22</v>
      </c>
      <c r="E109" s="1" t="s">
        <v>23</v>
      </c>
      <c r="F109" s="1" t="s">
        <v>833</v>
      </c>
      <c r="G109" s="1" t="s">
        <v>834</v>
      </c>
      <c r="H109" s="1" t="s">
        <v>835</v>
      </c>
      <c r="I109" s="1" t="s">
        <v>836</v>
      </c>
      <c r="J109" s="1" t="s">
        <v>31</v>
      </c>
      <c r="K109" s="1" t="s">
        <v>837</v>
      </c>
      <c r="L109" s="1" t="s">
        <v>838</v>
      </c>
      <c r="M109" s="1" t="s">
        <v>31</v>
      </c>
      <c r="N109" s="1" t="s">
        <v>31</v>
      </c>
      <c r="O109" s="1" t="s">
        <v>31</v>
      </c>
      <c r="P109" s="1" t="s">
        <v>31</v>
      </c>
      <c r="Q109" s="1" t="s">
        <v>31</v>
      </c>
    </row>
    <row r="110" spans="1:17" x14ac:dyDescent="0.2">
      <c r="A110" s="1">
        <v>126</v>
      </c>
      <c r="B110" s="1" t="s">
        <v>839</v>
      </c>
      <c r="C110" s="1" t="s">
        <v>840</v>
      </c>
      <c r="D110" s="1" t="s">
        <v>22</v>
      </c>
      <c r="E110" s="1" t="s">
        <v>23</v>
      </c>
      <c r="F110" s="1" t="s">
        <v>841</v>
      </c>
      <c r="G110" s="1" t="s">
        <v>842</v>
      </c>
      <c r="H110" s="1" t="s">
        <v>202</v>
      </c>
      <c r="I110" s="1" t="s">
        <v>843</v>
      </c>
      <c r="J110" s="1" t="s">
        <v>31</v>
      </c>
      <c r="K110" s="1" t="s">
        <v>844</v>
      </c>
      <c r="L110" s="1" t="s">
        <v>31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31</v>
      </c>
    </row>
    <row r="111" spans="1:17" x14ac:dyDescent="0.2">
      <c r="A111" s="1">
        <v>127</v>
      </c>
      <c r="B111" s="1" t="s">
        <v>845</v>
      </c>
      <c r="C111" s="1" t="s">
        <v>846</v>
      </c>
      <c r="D111" s="1" t="s">
        <v>22</v>
      </c>
      <c r="E111" s="1" t="s">
        <v>23</v>
      </c>
      <c r="F111" s="1" t="s">
        <v>847</v>
      </c>
      <c r="G111" s="1" t="s">
        <v>848</v>
      </c>
      <c r="H111" s="1" t="s">
        <v>26</v>
      </c>
      <c r="I111" s="1" t="s">
        <v>849</v>
      </c>
      <c r="J111" s="1" t="s">
        <v>31</v>
      </c>
      <c r="K111" s="1" t="s">
        <v>850</v>
      </c>
      <c r="L111" s="1" t="s">
        <v>851</v>
      </c>
      <c r="M111" s="1" t="s">
        <v>31</v>
      </c>
      <c r="N111" s="1" t="s">
        <v>31</v>
      </c>
      <c r="O111" s="1" t="s">
        <v>31</v>
      </c>
      <c r="P111" s="1" t="s">
        <v>852</v>
      </c>
      <c r="Q111" s="1" t="s">
        <v>31</v>
      </c>
    </row>
    <row r="112" spans="1:17" x14ac:dyDescent="0.2">
      <c r="A112" s="1">
        <v>128</v>
      </c>
      <c r="B112" s="1" t="s">
        <v>853</v>
      </c>
      <c r="C112" s="1" t="s">
        <v>854</v>
      </c>
      <c r="D112" s="1" t="s">
        <v>22</v>
      </c>
      <c r="E112" s="1" t="s">
        <v>23</v>
      </c>
      <c r="F112" s="1" t="s">
        <v>855</v>
      </c>
      <c r="G112" s="1" t="s">
        <v>582</v>
      </c>
      <c r="H112" s="1" t="s">
        <v>26</v>
      </c>
      <c r="I112" s="1" t="s">
        <v>856</v>
      </c>
      <c r="J112" s="1" t="s">
        <v>857</v>
      </c>
      <c r="K112" s="1" t="s">
        <v>858</v>
      </c>
      <c r="L112" s="1" t="s">
        <v>859</v>
      </c>
      <c r="M112" s="1" t="s">
        <v>31</v>
      </c>
      <c r="N112" s="1" t="s">
        <v>31</v>
      </c>
      <c r="O112" s="1" t="s">
        <v>31</v>
      </c>
      <c r="P112" s="1" t="s">
        <v>860</v>
      </c>
      <c r="Q112" s="1" t="s">
        <v>31</v>
      </c>
    </row>
    <row r="113" spans="1:17" x14ac:dyDescent="0.2">
      <c r="A113" s="1">
        <v>129</v>
      </c>
      <c r="B113" s="1" t="s">
        <v>861</v>
      </c>
      <c r="C113" s="1" t="s">
        <v>862</v>
      </c>
      <c r="D113" s="1" t="s">
        <v>35</v>
      </c>
      <c r="E113" s="1" t="s">
        <v>23</v>
      </c>
      <c r="F113" s="1" t="s">
        <v>863</v>
      </c>
      <c r="G113" s="1" t="s">
        <v>31</v>
      </c>
      <c r="H113" s="1" t="s">
        <v>339</v>
      </c>
      <c r="I113" s="1" t="s">
        <v>864</v>
      </c>
      <c r="J113" s="1" t="s">
        <v>31</v>
      </c>
      <c r="K113" s="1" t="s">
        <v>865</v>
      </c>
      <c r="L113" s="1" t="s">
        <v>866</v>
      </c>
      <c r="M113" s="1" t="s">
        <v>31</v>
      </c>
      <c r="N113" s="1" t="s">
        <v>31</v>
      </c>
      <c r="O113" s="1" t="s">
        <v>31</v>
      </c>
      <c r="P113" s="1" t="s">
        <v>31</v>
      </c>
      <c r="Q113" s="1" t="s">
        <v>31</v>
      </c>
    </row>
    <row r="114" spans="1:17" x14ac:dyDescent="0.2">
      <c r="A114" s="1">
        <v>130</v>
      </c>
      <c r="B114" s="1" t="s">
        <v>867</v>
      </c>
      <c r="C114" s="1" t="s">
        <v>868</v>
      </c>
      <c r="D114" s="1" t="s">
        <v>22</v>
      </c>
      <c r="E114" s="1" t="s">
        <v>23</v>
      </c>
      <c r="F114" s="1" t="s">
        <v>869</v>
      </c>
      <c r="G114" s="1" t="s">
        <v>675</v>
      </c>
      <c r="H114" s="1" t="s">
        <v>87</v>
      </c>
      <c r="I114" s="1" t="s">
        <v>870</v>
      </c>
      <c r="J114" s="1" t="s">
        <v>871</v>
      </c>
      <c r="K114" s="1" t="s">
        <v>872</v>
      </c>
      <c r="L114" s="1" t="s">
        <v>873</v>
      </c>
      <c r="M114" s="1" t="s">
        <v>31</v>
      </c>
      <c r="N114" s="1" t="s">
        <v>31</v>
      </c>
      <c r="O114" s="1" t="s">
        <v>31</v>
      </c>
      <c r="P114" s="1" t="s">
        <v>31</v>
      </c>
      <c r="Q114" s="1" t="s">
        <v>31</v>
      </c>
    </row>
    <row r="115" spans="1:17" x14ac:dyDescent="0.2">
      <c r="A115" s="1">
        <v>131</v>
      </c>
      <c r="B115" s="1" t="s">
        <v>874</v>
      </c>
      <c r="C115" s="1" t="s">
        <v>875</v>
      </c>
      <c r="D115" s="1" t="s">
        <v>35</v>
      </c>
      <c r="E115" s="1" t="s">
        <v>391</v>
      </c>
      <c r="F115" s="1" t="s">
        <v>876</v>
      </c>
      <c r="G115" s="1" t="s">
        <v>217</v>
      </c>
      <c r="H115" s="1" t="s">
        <v>31</v>
      </c>
      <c r="I115" s="1" t="s">
        <v>877</v>
      </c>
      <c r="J115" s="1" t="s">
        <v>877</v>
      </c>
      <c r="K115" s="1" t="s">
        <v>878</v>
      </c>
      <c r="L115" s="1" t="s">
        <v>879</v>
      </c>
      <c r="M115" s="1" t="s">
        <v>31</v>
      </c>
      <c r="N115" s="1" t="s">
        <v>31</v>
      </c>
      <c r="O115" s="1" t="s">
        <v>31</v>
      </c>
      <c r="P115" s="1" t="s">
        <v>31</v>
      </c>
      <c r="Q115" s="1" t="s">
        <v>31</v>
      </c>
    </row>
    <row r="116" spans="1:17" x14ac:dyDescent="0.2">
      <c r="A116" s="1">
        <v>132</v>
      </c>
      <c r="B116" s="1" t="s">
        <v>880</v>
      </c>
      <c r="C116" s="1" t="s">
        <v>881</v>
      </c>
      <c r="D116" s="1" t="s">
        <v>35</v>
      </c>
      <c r="E116" s="1" t="s">
        <v>23</v>
      </c>
      <c r="F116" s="1" t="s">
        <v>882</v>
      </c>
      <c r="G116" s="1" t="s">
        <v>231</v>
      </c>
      <c r="H116" s="1" t="s">
        <v>26</v>
      </c>
      <c r="I116" s="1" t="s">
        <v>883</v>
      </c>
      <c r="J116" s="1" t="s">
        <v>31</v>
      </c>
      <c r="K116" s="1" t="s">
        <v>884</v>
      </c>
      <c r="L116" s="1" t="s">
        <v>885</v>
      </c>
      <c r="M116" s="1" t="s">
        <v>31</v>
      </c>
      <c r="N116" s="1" t="s">
        <v>31</v>
      </c>
      <c r="O116" s="1" t="s">
        <v>31</v>
      </c>
      <c r="P116" s="1" t="s">
        <v>886</v>
      </c>
      <c r="Q116" s="1" t="s">
        <v>31</v>
      </c>
    </row>
    <row r="117" spans="1:17" x14ac:dyDescent="0.2">
      <c r="A117" s="1">
        <v>134</v>
      </c>
      <c r="B117" s="1" t="s">
        <v>887</v>
      </c>
      <c r="C117" s="1" t="s">
        <v>888</v>
      </c>
      <c r="D117" s="1" t="s">
        <v>22</v>
      </c>
      <c r="E117" s="1" t="s">
        <v>23</v>
      </c>
      <c r="F117" s="1" t="s">
        <v>889</v>
      </c>
      <c r="G117" s="1" t="s">
        <v>890</v>
      </c>
      <c r="H117" s="1" t="s">
        <v>26</v>
      </c>
      <c r="I117" s="1" t="s">
        <v>891</v>
      </c>
      <c r="J117" s="1" t="s">
        <v>892</v>
      </c>
      <c r="K117" s="1" t="s">
        <v>31</v>
      </c>
      <c r="L117" s="1" t="s">
        <v>893</v>
      </c>
      <c r="M117" s="1" t="s">
        <v>31</v>
      </c>
      <c r="N117" s="1" t="s">
        <v>31</v>
      </c>
      <c r="O117" s="1" t="s">
        <v>31</v>
      </c>
      <c r="P117" s="1" t="s">
        <v>894</v>
      </c>
      <c r="Q117" s="1" t="s">
        <v>31</v>
      </c>
    </row>
    <row r="118" spans="1:17" x14ac:dyDescent="0.2">
      <c r="A118" s="1">
        <v>135</v>
      </c>
      <c r="B118" s="1" t="s">
        <v>895</v>
      </c>
      <c r="C118" s="1" t="s">
        <v>896</v>
      </c>
      <c r="D118" s="1" t="s">
        <v>22</v>
      </c>
      <c r="E118" s="1" t="s">
        <v>23</v>
      </c>
      <c r="F118" s="1" t="s">
        <v>897</v>
      </c>
      <c r="G118" s="1" t="s">
        <v>898</v>
      </c>
      <c r="H118" s="1" t="s">
        <v>87</v>
      </c>
      <c r="I118" s="1" t="s">
        <v>899</v>
      </c>
      <c r="J118" s="1" t="s">
        <v>899</v>
      </c>
      <c r="K118" s="1" t="s">
        <v>900</v>
      </c>
      <c r="L118" s="1" t="s">
        <v>901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31</v>
      </c>
    </row>
    <row r="119" spans="1:17" x14ac:dyDescent="0.2">
      <c r="A119" s="1">
        <v>136</v>
      </c>
      <c r="B119" s="1" t="s">
        <v>902</v>
      </c>
      <c r="C119" s="1" t="s">
        <v>903</v>
      </c>
      <c r="D119" s="1" t="s">
        <v>22</v>
      </c>
      <c r="E119" s="1" t="s">
        <v>23</v>
      </c>
      <c r="F119" s="1" t="s">
        <v>904</v>
      </c>
      <c r="G119" s="1" t="s">
        <v>905</v>
      </c>
      <c r="H119" s="1" t="s">
        <v>26</v>
      </c>
      <c r="I119" s="1" t="s">
        <v>906</v>
      </c>
      <c r="J119" s="1" t="s">
        <v>31</v>
      </c>
      <c r="K119" s="1" t="s">
        <v>907</v>
      </c>
      <c r="L119" s="1" t="s">
        <v>908</v>
      </c>
      <c r="M119" s="1" t="s">
        <v>31</v>
      </c>
      <c r="N119" s="1" t="s">
        <v>31</v>
      </c>
      <c r="O119" s="1" t="s">
        <v>31</v>
      </c>
      <c r="P119" s="1" t="s">
        <v>31</v>
      </c>
      <c r="Q119" s="1" t="s">
        <v>31</v>
      </c>
    </row>
    <row r="120" spans="1:17" x14ac:dyDescent="0.2">
      <c r="A120" s="1">
        <v>137</v>
      </c>
      <c r="B120" s="1" t="s">
        <v>909</v>
      </c>
      <c r="C120" s="1" t="s">
        <v>910</v>
      </c>
      <c r="D120" s="1" t="s">
        <v>22</v>
      </c>
      <c r="E120" s="1" t="s">
        <v>23</v>
      </c>
      <c r="F120" s="1" t="s">
        <v>911</v>
      </c>
      <c r="G120" s="1" t="s">
        <v>912</v>
      </c>
      <c r="H120" s="1" t="s">
        <v>26</v>
      </c>
      <c r="I120" s="1" t="s">
        <v>913</v>
      </c>
      <c r="J120" s="1" t="s">
        <v>31</v>
      </c>
      <c r="K120" s="1" t="s">
        <v>914</v>
      </c>
      <c r="L120" s="1" t="s">
        <v>915</v>
      </c>
      <c r="M120" s="1" t="s">
        <v>31</v>
      </c>
      <c r="N120" s="1" t="s">
        <v>31</v>
      </c>
      <c r="O120" s="1" t="s">
        <v>31</v>
      </c>
      <c r="P120" s="1" t="s">
        <v>916</v>
      </c>
      <c r="Q120" s="1" t="s">
        <v>31</v>
      </c>
    </row>
    <row r="121" spans="1:17" x14ac:dyDescent="0.2">
      <c r="A121" s="1">
        <v>138</v>
      </c>
      <c r="B121" s="1" t="s">
        <v>917</v>
      </c>
      <c r="C121" s="1" t="s">
        <v>918</v>
      </c>
      <c r="D121" s="1" t="s">
        <v>22</v>
      </c>
      <c r="E121" s="1" t="s">
        <v>23</v>
      </c>
      <c r="F121" s="1" t="s">
        <v>919</v>
      </c>
      <c r="G121" s="1" t="s">
        <v>136</v>
      </c>
      <c r="H121" s="1" t="s">
        <v>87</v>
      </c>
      <c r="I121" s="1" t="s">
        <v>920</v>
      </c>
      <c r="J121" s="1" t="s">
        <v>921</v>
      </c>
      <c r="K121" s="1" t="s">
        <v>922</v>
      </c>
      <c r="L121" s="1" t="s">
        <v>923</v>
      </c>
      <c r="M121" s="1" t="s">
        <v>31</v>
      </c>
      <c r="N121" s="1" t="s">
        <v>31</v>
      </c>
      <c r="O121" s="1" t="s">
        <v>31</v>
      </c>
      <c r="P121" s="1" t="s">
        <v>31</v>
      </c>
      <c r="Q121" s="1" t="s">
        <v>31</v>
      </c>
    </row>
    <row r="122" spans="1:17" x14ac:dyDescent="0.2">
      <c r="A122" s="1">
        <v>139</v>
      </c>
      <c r="B122" s="1" t="s">
        <v>924</v>
      </c>
      <c r="C122" s="1" t="s">
        <v>925</v>
      </c>
      <c r="D122" s="1" t="s">
        <v>35</v>
      </c>
      <c r="E122" s="1" t="s">
        <v>23</v>
      </c>
      <c r="F122" s="1" t="s">
        <v>926</v>
      </c>
      <c r="G122" s="1" t="s">
        <v>31</v>
      </c>
      <c r="H122" s="1" t="s">
        <v>26</v>
      </c>
      <c r="I122" s="1" t="s">
        <v>927</v>
      </c>
      <c r="J122" s="1" t="s">
        <v>31</v>
      </c>
      <c r="K122" s="1" t="s">
        <v>928</v>
      </c>
      <c r="L122" s="1" t="s">
        <v>929</v>
      </c>
      <c r="M122" s="1" t="s">
        <v>31</v>
      </c>
      <c r="N122" s="1" t="s">
        <v>31</v>
      </c>
      <c r="O122" s="1" t="s">
        <v>31</v>
      </c>
      <c r="P122" s="1" t="s">
        <v>31</v>
      </c>
      <c r="Q122" s="1" t="s">
        <v>31</v>
      </c>
    </row>
    <row r="123" spans="1:17" x14ac:dyDescent="0.2">
      <c r="A123" s="1">
        <v>140</v>
      </c>
      <c r="B123" s="1" t="s">
        <v>930</v>
      </c>
      <c r="C123" s="1" t="s">
        <v>931</v>
      </c>
      <c r="D123" s="1" t="s">
        <v>22</v>
      </c>
      <c r="E123" s="1" t="s">
        <v>23</v>
      </c>
      <c r="F123" s="1" t="s">
        <v>932</v>
      </c>
      <c r="G123" s="1" t="s">
        <v>103</v>
      </c>
      <c r="H123" s="1" t="s">
        <v>87</v>
      </c>
      <c r="I123" s="1" t="s">
        <v>933</v>
      </c>
      <c r="J123" s="1" t="s">
        <v>31</v>
      </c>
      <c r="K123" s="1" t="s">
        <v>934</v>
      </c>
      <c r="L123" s="1" t="s">
        <v>935</v>
      </c>
      <c r="M123" s="1" t="s">
        <v>31</v>
      </c>
      <c r="N123" s="1" t="s">
        <v>31</v>
      </c>
      <c r="O123" s="1" t="s">
        <v>31</v>
      </c>
      <c r="P123" s="1" t="s">
        <v>31</v>
      </c>
      <c r="Q123" s="1" t="s">
        <v>31</v>
      </c>
    </row>
    <row r="124" spans="1:17" x14ac:dyDescent="0.2">
      <c r="A124" s="1">
        <v>141</v>
      </c>
      <c r="B124" s="1" t="s">
        <v>936</v>
      </c>
      <c r="C124" s="1" t="s">
        <v>937</v>
      </c>
      <c r="D124" s="1" t="s">
        <v>22</v>
      </c>
      <c r="E124" s="1" t="s">
        <v>23</v>
      </c>
      <c r="F124" s="1" t="s">
        <v>938</v>
      </c>
      <c r="G124" s="1" t="s">
        <v>70</v>
      </c>
      <c r="H124" s="1" t="s">
        <v>26</v>
      </c>
      <c r="I124" s="1" t="s">
        <v>939</v>
      </c>
      <c r="J124" s="1" t="s">
        <v>940</v>
      </c>
      <c r="K124" s="1" t="s">
        <v>941</v>
      </c>
      <c r="L124" s="1" t="s">
        <v>942</v>
      </c>
      <c r="M124" s="1" t="s">
        <v>31</v>
      </c>
      <c r="N124" s="1" t="s">
        <v>31</v>
      </c>
      <c r="O124" s="1" t="s">
        <v>31</v>
      </c>
      <c r="P124" s="1" t="s">
        <v>943</v>
      </c>
      <c r="Q124" s="1" t="s">
        <v>31</v>
      </c>
    </row>
    <row r="125" spans="1:17" x14ac:dyDescent="0.2">
      <c r="A125" s="1">
        <v>142</v>
      </c>
      <c r="B125" s="1" t="s">
        <v>944</v>
      </c>
      <c r="C125" s="1" t="s">
        <v>945</v>
      </c>
      <c r="D125" s="1" t="s">
        <v>22</v>
      </c>
      <c r="E125" s="1" t="s">
        <v>23</v>
      </c>
      <c r="F125" s="1" t="s">
        <v>946</v>
      </c>
      <c r="G125" s="1" t="s">
        <v>947</v>
      </c>
      <c r="H125" s="1" t="s">
        <v>31</v>
      </c>
      <c r="I125" s="1" t="s">
        <v>948</v>
      </c>
      <c r="J125" s="1" t="s">
        <v>31</v>
      </c>
      <c r="K125" s="1" t="s">
        <v>949</v>
      </c>
      <c r="L125" s="1" t="s">
        <v>950</v>
      </c>
      <c r="M125" s="1" t="s">
        <v>31</v>
      </c>
      <c r="N125" s="1" t="s">
        <v>31</v>
      </c>
      <c r="O125" s="1" t="s">
        <v>31</v>
      </c>
      <c r="P125" s="1" t="s">
        <v>31</v>
      </c>
      <c r="Q125" s="1" t="s">
        <v>31</v>
      </c>
    </row>
    <row r="126" spans="1:17" x14ac:dyDescent="0.2">
      <c r="A126" s="1">
        <v>143</v>
      </c>
      <c r="B126" s="1" t="s">
        <v>951</v>
      </c>
      <c r="C126" s="1" t="s">
        <v>952</v>
      </c>
      <c r="D126" s="1" t="s">
        <v>22</v>
      </c>
      <c r="E126" s="1" t="s">
        <v>23</v>
      </c>
      <c r="F126" s="1" t="s">
        <v>953</v>
      </c>
      <c r="G126" s="1" t="s">
        <v>954</v>
      </c>
      <c r="H126" s="1" t="s">
        <v>87</v>
      </c>
      <c r="I126" s="1" t="s">
        <v>31</v>
      </c>
      <c r="J126" s="1" t="s">
        <v>955</v>
      </c>
      <c r="K126" s="1" t="s">
        <v>956</v>
      </c>
      <c r="L126" s="1" t="s">
        <v>31</v>
      </c>
      <c r="M126" s="1" t="s">
        <v>31</v>
      </c>
      <c r="N126" s="1" t="s">
        <v>31</v>
      </c>
      <c r="O126" s="1" t="s">
        <v>31</v>
      </c>
      <c r="P126" s="1" t="s">
        <v>31</v>
      </c>
      <c r="Q126" s="1" t="s">
        <v>31</v>
      </c>
    </row>
    <row r="127" spans="1:17" x14ac:dyDescent="0.2">
      <c r="A127" s="1">
        <v>144</v>
      </c>
      <c r="B127" s="1" t="s">
        <v>957</v>
      </c>
      <c r="C127" s="1" t="s">
        <v>958</v>
      </c>
      <c r="D127" s="1" t="s">
        <v>22</v>
      </c>
      <c r="E127" s="1" t="s">
        <v>23</v>
      </c>
      <c r="F127" s="1" t="s">
        <v>959</v>
      </c>
      <c r="G127" s="1" t="s">
        <v>960</v>
      </c>
      <c r="H127" s="1" t="s">
        <v>87</v>
      </c>
      <c r="I127" s="1" t="s">
        <v>961</v>
      </c>
      <c r="J127" s="1" t="s">
        <v>31</v>
      </c>
      <c r="K127" s="1" t="s">
        <v>962</v>
      </c>
      <c r="L127" s="1" t="s">
        <v>963</v>
      </c>
      <c r="M127" s="1" t="s">
        <v>31</v>
      </c>
      <c r="N127" s="1" t="s">
        <v>31</v>
      </c>
      <c r="O127" s="1" t="s">
        <v>31</v>
      </c>
      <c r="P127" s="1" t="s">
        <v>964</v>
      </c>
      <c r="Q127" s="1" t="s">
        <v>31</v>
      </c>
    </row>
    <row r="128" spans="1:17" x14ac:dyDescent="0.2">
      <c r="A128" s="1">
        <v>145</v>
      </c>
      <c r="B128" s="1" t="s">
        <v>965</v>
      </c>
      <c r="C128" s="1" t="s">
        <v>966</v>
      </c>
      <c r="D128" s="1" t="s">
        <v>22</v>
      </c>
      <c r="E128" s="1" t="s">
        <v>23</v>
      </c>
      <c r="F128" s="1" t="s">
        <v>967</v>
      </c>
      <c r="G128" s="1" t="s">
        <v>968</v>
      </c>
      <c r="H128" s="1" t="s">
        <v>87</v>
      </c>
      <c r="I128" s="1" t="s">
        <v>969</v>
      </c>
      <c r="J128" s="1" t="s">
        <v>970</v>
      </c>
      <c r="K128" s="1" t="s">
        <v>971</v>
      </c>
      <c r="L128" s="1" t="s">
        <v>972</v>
      </c>
      <c r="M128" s="1" t="s">
        <v>31</v>
      </c>
      <c r="N128" s="1" t="s">
        <v>31</v>
      </c>
      <c r="O128" s="1" t="s">
        <v>31</v>
      </c>
      <c r="P128" s="1" t="s">
        <v>31</v>
      </c>
      <c r="Q128" s="1" t="s">
        <v>31</v>
      </c>
    </row>
    <row r="129" spans="1:17" x14ac:dyDescent="0.2">
      <c r="A129" s="1">
        <v>146</v>
      </c>
      <c r="B129" s="1" t="s">
        <v>973</v>
      </c>
      <c r="C129" s="1" t="s">
        <v>974</v>
      </c>
      <c r="D129" s="1" t="s">
        <v>22</v>
      </c>
      <c r="E129" s="1" t="s">
        <v>23</v>
      </c>
      <c r="F129" s="1" t="s">
        <v>975</v>
      </c>
      <c r="G129" s="1" t="s">
        <v>818</v>
      </c>
      <c r="H129" s="1" t="s">
        <v>26</v>
      </c>
      <c r="I129" s="1" t="s">
        <v>976</v>
      </c>
      <c r="J129" s="1" t="s">
        <v>977</v>
      </c>
      <c r="K129" s="1" t="s">
        <v>978</v>
      </c>
      <c r="L129" s="1" t="s">
        <v>979</v>
      </c>
      <c r="M129" s="1" t="s">
        <v>31</v>
      </c>
      <c r="N129" s="1" t="s">
        <v>31</v>
      </c>
      <c r="O129" s="1" t="s">
        <v>31</v>
      </c>
      <c r="P129" s="1" t="s">
        <v>980</v>
      </c>
      <c r="Q129" s="1" t="s">
        <v>31</v>
      </c>
    </row>
    <row r="130" spans="1:17" s="30" customFormat="1" x14ac:dyDescent="0.2">
      <c r="A130" s="30">
        <v>147</v>
      </c>
      <c r="B130" s="30" t="s">
        <v>1663</v>
      </c>
      <c r="C130" s="31">
        <v>113</v>
      </c>
      <c r="D130" s="30" t="s">
        <v>22</v>
      </c>
      <c r="E130" s="30" t="s">
        <v>23</v>
      </c>
      <c r="F130" s="30" t="s">
        <v>1662</v>
      </c>
      <c r="G130" s="30" t="s">
        <v>1661</v>
      </c>
      <c r="H130" s="30" t="s">
        <v>87</v>
      </c>
      <c r="I130" s="30" t="s">
        <v>1660</v>
      </c>
      <c r="J130" s="30" t="s">
        <v>1659</v>
      </c>
      <c r="K130" s="30" t="s">
        <v>1658</v>
      </c>
      <c r="L130" s="30" t="s">
        <v>1657</v>
      </c>
      <c r="M130" s="30" t="s">
        <v>31</v>
      </c>
      <c r="N130" s="30" t="s">
        <v>31</v>
      </c>
      <c r="O130" s="30" t="s">
        <v>31</v>
      </c>
      <c r="P130" s="30" t="s">
        <v>31</v>
      </c>
      <c r="Q130" s="30" t="s">
        <v>31</v>
      </c>
    </row>
    <row r="131" spans="1:17" x14ac:dyDescent="0.2">
      <c r="A131" s="1">
        <v>148</v>
      </c>
      <c r="B131" s="1" t="s">
        <v>981</v>
      </c>
      <c r="C131" s="1" t="s">
        <v>982</v>
      </c>
      <c r="D131" s="1" t="s">
        <v>22</v>
      </c>
      <c r="E131" s="1" t="s">
        <v>391</v>
      </c>
      <c r="F131" s="1" t="s">
        <v>983</v>
      </c>
      <c r="G131" s="1" t="s">
        <v>393</v>
      </c>
      <c r="H131" s="1" t="s">
        <v>394</v>
      </c>
      <c r="I131" s="1" t="s">
        <v>984</v>
      </c>
      <c r="J131" s="1" t="s">
        <v>984</v>
      </c>
      <c r="K131" s="1" t="s">
        <v>985</v>
      </c>
      <c r="L131" s="1" t="s">
        <v>986</v>
      </c>
      <c r="M131" s="1" t="s">
        <v>31</v>
      </c>
      <c r="N131" s="1" t="s">
        <v>31</v>
      </c>
      <c r="O131" s="1" t="s">
        <v>31</v>
      </c>
      <c r="P131" s="1" t="s">
        <v>31</v>
      </c>
      <c r="Q131" s="1" t="s">
        <v>31</v>
      </c>
    </row>
    <row r="132" spans="1:17" x14ac:dyDescent="0.2">
      <c r="A132" s="1">
        <v>149</v>
      </c>
      <c r="B132" s="1" t="s">
        <v>987</v>
      </c>
      <c r="C132" s="1" t="s">
        <v>988</v>
      </c>
      <c r="D132" s="1" t="s">
        <v>22</v>
      </c>
      <c r="E132" s="1" t="s">
        <v>23</v>
      </c>
      <c r="F132" s="1" t="s">
        <v>989</v>
      </c>
      <c r="G132" s="1" t="s">
        <v>990</v>
      </c>
      <c r="H132" s="1" t="s">
        <v>991</v>
      </c>
      <c r="I132" s="1" t="s">
        <v>992</v>
      </c>
      <c r="J132" s="1" t="s">
        <v>993</v>
      </c>
      <c r="K132" s="1" t="s">
        <v>994</v>
      </c>
      <c r="L132" s="1" t="s">
        <v>995</v>
      </c>
      <c r="M132" s="1" t="s">
        <v>31</v>
      </c>
      <c r="N132" s="1" t="s">
        <v>31</v>
      </c>
      <c r="O132" s="1" t="s">
        <v>31</v>
      </c>
      <c r="P132" s="1" t="s">
        <v>31</v>
      </c>
      <c r="Q132" s="1" t="s">
        <v>31</v>
      </c>
    </row>
    <row r="133" spans="1:17" x14ac:dyDescent="0.2">
      <c r="A133" s="1">
        <v>152</v>
      </c>
      <c r="B133" s="1" t="s">
        <v>996</v>
      </c>
      <c r="C133" s="1" t="s">
        <v>997</v>
      </c>
      <c r="D133" s="1" t="s">
        <v>22</v>
      </c>
      <c r="E133" s="1" t="s">
        <v>23</v>
      </c>
      <c r="F133" s="1" t="s">
        <v>998</v>
      </c>
      <c r="G133" s="1" t="s">
        <v>999</v>
      </c>
      <c r="H133" s="1" t="s">
        <v>26</v>
      </c>
      <c r="I133" s="1" t="s">
        <v>1000</v>
      </c>
      <c r="J133" s="1" t="s">
        <v>1001</v>
      </c>
      <c r="K133" s="1" t="s">
        <v>1002</v>
      </c>
      <c r="L133" s="1" t="s">
        <v>1003</v>
      </c>
      <c r="M133" s="1" t="s">
        <v>31</v>
      </c>
      <c r="N133" s="1" t="s">
        <v>31</v>
      </c>
      <c r="O133" s="1" t="s">
        <v>31</v>
      </c>
      <c r="P133" s="1" t="s">
        <v>1004</v>
      </c>
      <c r="Q133" s="1" t="s">
        <v>31</v>
      </c>
    </row>
    <row r="134" spans="1:17" x14ac:dyDescent="0.2">
      <c r="A134" s="1">
        <v>153</v>
      </c>
      <c r="B134" s="1" t="s">
        <v>1005</v>
      </c>
      <c r="C134" s="1" t="s">
        <v>1006</v>
      </c>
      <c r="D134" s="1" t="s">
        <v>22</v>
      </c>
      <c r="E134" s="1" t="s">
        <v>23</v>
      </c>
      <c r="F134" s="1" t="s">
        <v>1007</v>
      </c>
      <c r="G134" s="1" t="s">
        <v>1008</v>
      </c>
      <c r="H134" s="1" t="s">
        <v>1009</v>
      </c>
      <c r="I134" s="1" t="s">
        <v>1010</v>
      </c>
      <c r="J134" s="1" t="s">
        <v>31</v>
      </c>
      <c r="K134" s="1" t="s">
        <v>1011</v>
      </c>
      <c r="L134" s="1" t="s">
        <v>1012</v>
      </c>
      <c r="M134" s="1" t="s">
        <v>31</v>
      </c>
      <c r="N134" s="1" t="s">
        <v>31</v>
      </c>
      <c r="O134" s="1" t="s">
        <v>31</v>
      </c>
      <c r="P134" s="1" t="s">
        <v>31</v>
      </c>
      <c r="Q134" s="1" t="s">
        <v>31</v>
      </c>
    </row>
    <row r="135" spans="1:17" x14ac:dyDescent="0.2">
      <c r="A135" s="1">
        <v>154</v>
      </c>
      <c r="B135" s="1" t="s">
        <v>1013</v>
      </c>
      <c r="C135" s="1" t="s">
        <v>1014</v>
      </c>
      <c r="D135" s="1" t="s">
        <v>22</v>
      </c>
      <c r="E135" s="1" t="s">
        <v>23</v>
      </c>
      <c r="F135" s="1" t="s">
        <v>1015</v>
      </c>
      <c r="G135" s="1" t="s">
        <v>53</v>
      </c>
      <c r="H135" s="1" t="s">
        <v>26</v>
      </c>
      <c r="I135" s="1" t="s">
        <v>1016</v>
      </c>
      <c r="J135" s="1" t="s">
        <v>1017</v>
      </c>
      <c r="K135" s="1" t="s">
        <v>1018</v>
      </c>
      <c r="L135" s="1" t="s">
        <v>1019</v>
      </c>
      <c r="M135" s="1" t="s">
        <v>31</v>
      </c>
      <c r="N135" s="1" t="s">
        <v>31</v>
      </c>
      <c r="O135" s="1" t="s">
        <v>31</v>
      </c>
      <c r="P135" s="1" t="s">
        <v>31</v>
      </c>
      <c r="Q135" s="1" t="s">
        <v>31</v>
      </c>
    </row>
    <row r="136" spans="1:17" x14ac:dyDescent="0.2">
      <c r="A136" s="1">
        <v>155</v>
      </c>
      <c r="B136" s="1" t="s">
        <v>1020</v>
      </c>
      <c r="C136" s="1" t="s">
        <v>1021</v>
      </c>
      <c r="D136" s="1" t="s">
        <v>22</v>
      </c>
      <c r="E136" s="1" t="s">
        <v>23</v>
      </c>
      <c r="F136" s="1" t="s">
        <v>1022</v>
      </c>
      <c r="G136" s="1" t="s">
        <v>31</v>
      </c>
      <c r="H136" s="1" t="s">
        <v>87</v>
      </c>
      <c r="I136" s="1" t="s">
        <v>1023</v>
      </c>
      <c r="J136" s="1" t="s">
        <v>1024</v>
      </c>
      <c r="K136" s="1" t="s">
        <v>1025</v>
      </c>
      <c r="L136" s="1" t="s">
        <v>1026</v>
      </c>
      <c r="M136" s="1" t="s">
        <v>31</v>
      </c>
      <c r="N136" s="1" t="s">
        <v>31</v>
      </c>
      <c r="O136" s="1" t="s">
        <v>31</v>
      </c>
      <c r="P136" s="1" t="s">
        <v>31</v>
      </c>
      <c r="Q136" s="1" t="s">
        <v>31</v>
      </c>
    </row>
    <row r="137" spans="1:17" x14ac:dyDescent="0.2">
      <c r="A137" s="1">
        <v>156</v>
      </c>
      <c r="B137" s="1" t="s">
        <v>1027</v>
      </c>
      <c r="C137" s="1" t="s">
        <v>1028</v>
      </c>
      <c r="D137" s="1" t="s">
        <v>22</v>
      </c>
      <c r="E137" s="1" t="s">
        <v>23</v>
      </c>
      <c r="F137" s="1" t="s">
        <v>1029</v>
      </c>
      <c r="G137" s="1" t="s">
        <v>31</v>
      </c>
      <c r="H137" s="1" t="s">
        <v>87</v>
      </c>
      <c r="I137" s="1" t="s">
        <v>1030</v>
      </c>
      <c r="J137" s="1" t="s">
        <v>31</v>
      </c>
      <c r="K137" s="1" t="s">
        <v>1031</v>
      </c>
      <c r="L137" s="1" t="s">
        <v>1032</v>
      </c>
      <c r="M137" s="1" t="s">
        <v>31</v>
      </c>
      <c r="N137" s="1" t="s">
        <v>31</v>
      </c>
      <c r="O137" s="1" t="s">
        <v>31</v>
      </c>
      <c r="P137" s="1" t="s">
        <v>31</v>
      </c>
      <c r="Q137" s="1" t="s">
        <v>31</v>
      </c>
    </row>
    <row r="138" spans="1:17" x14ac:dyDescent="0.2">
      <c r="A138" s="1">
        <v>159</v>
      </c>
      <c r="B138" s="1" t="s">
        <v>1033</v>
      </c>
      <c r="C138" s="1" t="s">
        <v>1034</v>
      </c>
      <c r="D138" s="1" t="s">
        <v>22</v>
      </c>
      <c r="E138" s="1" t="s">
        <v>23</v>
      </c>
      <c r="F138" s="1" t="s">
        <v>1035</v>
      </c>
      <c r="G138" s="1" t="s">
        <v>1036</v>
      </c>
      <c r="H138" s="1" t="s">
        <v>26</v>
      </c>
      <c r="I138" s="1" t="s">
        <v>1037</v>
      </c>
      <c r="J138" s="1" t="s">
        <v>1038</v>
      </c>
      <c r="K138" s="1" t="s">
        <v>1039</v>
      </c>
      <c r="L138" s="1" t="s">
        <v>1040</v>
      </c>
      <c r="M138" s="1" t="s">
        <v>31</v>
      </c>
      <c r="N138" s="1" t="s">
        <v>31</v>
      </c>
      <c r="O138" s="1" t="s">
        <v>31</v>
      </c>
      <c r="P138" s="1" t="s">
        <v>1041</v>
      </c>
      <c r="Q138" s="1" t="s">
        <v>31</v>
      </c>
    </row>
    <row r="139" spans="1:17" x14ac:dyDescent="0.2">
      <c r="A139" s="1">
        <v>161</v>
      </c>
      <c r="B139" s="1" t="s">
        <v>1042</v>
      </c>
      <c r="C139" s="1" t="s">
        <v>1043</v>
      </c>
      <c r="D139" s="1" t="s">
        <v>22</v>
      </c>
      <c r="E139" s="1" t="s">
        <v>23</v>
      </c>
      <c r="F139" s="1" t="s">
        <v>1044</v>
      </c>
      <c r="G139" s="1" t="s">
        <v>186</v>
      </c>
      <c r="H139" s="1" t="s">
        <v>339</v>
      </c>
      <c r="I139" s="1" t="s">
        <v>1045</v>
      </c>
      <c r="J139" s="1" t="s">
        <v>1046</v>
      </c>
      <c r="K139" s="1" t="s">
        <v>1047</v>
      </c>
      <c r="L139" s="1" t="s">
        <v>31</v>
      </c>
      <c r="M139" s="1" t="s">
        <v>31</v>
      </c>
      <c r="N139" s="1" t="s">
        <v>31</v>
      </c>
      <c r="O139" s="1" t="s">
        <v>31</v>
      </c>
      <c r="P139" s="1" t="s">
        <v>31</v>
      </c>
      <c r="Q139" s="1" t="s">
        <v>31</v>
      </c>
    </row>
    <row r="140" spans="1:17" x14ac:dyDescent="0.2">
      <c r="A140" s="1">
        <v>162</v>
      </c>
      <c r="B140" s="1" t="s">
        <v>1048</v>
      </c>
      <c r="C140" s="1" t="s">
        <v>1049</v>
      </c>
      <c r="D140" s="1" t="s">
        <v>22</v>
      </c>
      <c r="E140" s="1" t="s">
        <v>23</v>
      </c>
      <c r="F140" s="1" t="s">
        <v>1050</v>
      </c>
      <c r="G140" s="1" t="s">
        <v>393</v>
      </c>
      <c r="H140" s="1" t="s">
        <v>394</v>
      </c>
      <c r="I140" s="1" t="s">
        <v>984</v>
      </c>
      <c r="J140" s="1" t="s">
        <v>984</v>
      </c>
      <c r="K140" s="1" t="s">
        <v>1051</v>
      </c>
      <c r="L140" s="1" t="s">
        <v>1052</v>
      </c>
      <c r="M140" s="1" t="s">
        <v>31</v>
      </c>
      <c r="N140" s="1" t="s">
        <v>31</v>
      </c>
      <c r="O140" s="1" t="s">
        <v>31</v>
      </c>
      <c r="P140" s="1" t="s">
        <v>31</v>
      </c>
      <c r="Q140" s="1" t="s">
        <v>31</v>
      </c>
    </row>
    <row r="141" spans="1:17" x14ac:dyDescent="0.2">
      <c r="A141" s="1">
        <v>163</v>
      </c>
      <c r="B141" s="1" t="s">
        <v>1053</v>
      </c>
      <c r="C141" s="1" t="s">
        <v>1054</v>
      </c>
      <c r="D141" s="1" t="s">
        <v>35</v>
      </c>
      <c r="E141" s="1" t="s">
        <v>23</v>
      </c>
      <c r="F141" s="1" t="s">
        <v>1055</v>
      </c>
      <c r="G141" s="1" t="s">
        <v>1056</v>
      </c>
      <c r="H141" s="1" t="s">
        <v>26</v>
      </c>
      <c r="I141" s="1" t="s">
        <v>1057</v>
      </c>
      <c r="J141" s="1" t="s">
        <v>1058</v>
      </c>
      <c r="K141" s="1" t="s">
        <v>1059</v>
      </c>
      <c r="L141" s="1" t="s">
        <v>1060</v>
      </c>
      <c r="M141" s="1" t="s">
        <v>31</v>
      </c>
      <c r="N141" s="1" t="s">
        <v>31</v>
      </c>
      <c r="O141" s="1" t="s">
        <v>31</v>
      </c>
      <c r="P141" s="1" t="s">
        <v>1061</v>
      </c>
      <c r="Q141" s="1" t="s">
        <v>31</v>
      </c>
    </row>
    <row r="142" spans="1:17" x14ac:dyDescent="0.2">
      <c r="A142" s="1">
        <v>164</v>
      </c>
      <c r="B142" s="1" t="s">
        <v>1062</v>
      </c>
      <c r="C142" s="1" t="s">
        <v>1063</v>
      </c>
      <c r="D142" s="1" t="s">
        <v>22</v>
      </c>
      <c r="E142" s="1" t="s">
        <v>391</v>
      </c>
      <c r="F142" s="1" t="s">
        <v>1064</v>
      </c>
      <c r="G142" s="1" t="s">
        <v>1065</v>
      </c>
      <c r="H142" s="1" t="s">
        <v>26</v>
      </c>
      <c r="I142" s="1" t="s">
        <v>1066</v>
      </c>
      <c r="J142" s="1" t="s">
        <v>31</v>
      </c>
      <c r="K142" s="1" t="s">
        <v>1067</v>
      </c>
      <c r="L142" s="1" t="s">
        <v>31</v>
      </c>
      <c r="M142" s="1" t="s">
        <v>31</v>
      </c>
      <c r="N142" s="1" t="s">
        <v>31</v>
      </c>
      <c r="O142" s="1" t="s">
        <v>31</v>
      </c>
      <c r="P142" s="1" t="s">
        <v>31</v>
      </c>
      <c r="Q142" s="1" t="s">
        <v>31</v>
      </c>
    </row>
    <row r="143" spans="1:17" x14ac:dyDescent="0.2">
      <c r="A143" s="1">
        <v>165</v>
      </c>
      <c r="B143" s="1" t="s">
        <v>1068</v>
      </c>
      <c r="C143" s="1" t="s">
        <v>1069</v>
      </c>
      <c r="D143" s="1" t="s">
        <v>22</v>
      </c>
      <c r="E143" s="1" t="s">
        <v>23</v>
      </c>
      <c r="F143" s="1" t="s">
        <v>1070</v>
      </c>
      <c r="G143" s="1" t="s">
        <v>1071</v>
      </c>
      <c r="H143" s="1" t="s">
        <v>489</v>
      </c>
      <c r="I143" s="1" t="s">
        <v>1072</v>
      </c>
      <c r="J143" s="1" t="s">
        <v>1073</v>
      </c>
      <c r="K143" s="1" t="s">
        <v>1074</v>
      </c>
      <c r="L143" s="1" t="s">
        <v>1075</v>
      </c>
      <c r="M143" s="1" t="s">
        <v>31</v>
      </c>
      <c r="N143" s="1" t="s">
        <v>31</v>
      </c>
      <c r="O143" s="1" t="s">
        <v>31</v>
      </c>
      <c r="P143" s="1" t="s">
        <v>1076</v>
      </c>
      <c r="Q143" s="1" t="s">
        <v>31</v>
      </c>
    </row>
    <row r="144" spans="1:17" x14ac:dyDescent="0.2">
      <c r="A144" s="1">
        <v>166</v>
      </c>
      <c r="B144" s="1" t="s">
        <v>1077</v>
      </c>
      <c r="C144" s="1" t="s">
        <v>1078</v>
      </c>
      <c r="D144" s="1" t="s">
        <v>22</v>
      </c>
      <c r="E144" s="1" t="s">
        <v>391</v>
      </c>
      <c r="F144" s="1" t="s">
        <v>1079</v>
      </c>
      <c r="G144" s="1" t="s">
        <v>1080</v>
      </c>
      <c r="H144" s="1" t="s">
        <v>87</v>
      </c>
      <c r="I144" s="1" t="s">
        <v>1081</v>
      </c>
      <c r="J144" s="1" t="s">
        <v>1081</v>
      </c>
      <c r="K144" s="1" t="s">
        <v>1082</v>
      </c>
      <c r="L144" s="1" t="s">
        <v>1083</v>
      </c>
      <c r="M144" s="1" t="s">
        <v>31</v>
      </c>
      <c r="N144" s="1" t="s">
        <v>31</v>
      </c>
      <c r="O144" s="1" t="s">
        <v>31</v>
      </c>
      <c r="P144" s="1" t="s">
        <v>31</v>
      </c>
      <c r="Q144" s="1" t="s">
        <v>31</v>
      </c>
    </row>
    <row r="145" spans="1:17" x14ac:dyDescent="0.2">
      <c r="A145" s="1">
        <v>167</v>
      </c>
      <c r="B145" s="1" t="s">
        <v>1084</v>
      </c>
      <c r="C145" s="1" t="s">
        <v>1085</v>
      </c>
      <c r="D145" s="1" t="s">
        <v>35</v>
      </c>
      <c r="E145" s="1" t="s">
        <v>23</v>
      </c>
      <c r="F145" s="1" t="s">
        <v>1086</v>
      </c>
      <c r="G145" s="1" t="s">
        <v>1087</v>
      </c>
      <c r="H145" s="1" t="s">
        <v>26</v>
      </c>
      <c r="I145" s="1" t="s">
        <v>1088</v>
      </c>
      <c r="J145" s="1" t="s">
        <v>1089</v>
      </c>
      <c r="K145" s="1" t="s">
        <v>1090</v>
      </c>
      <c r="L145" s="1" t="s">
        <v>1091</v>
      </c>
      <c r="M145" s="1" t="s">
        <v>31</v>
      </c>
      <c r="N145" s="1" t="s">
        <v>31</v>
      </c>
      <c r="O145" s="1" t="s">
        <v>31</v>
      </c>
      <c r="P145" s="1" t="s">
        <v>1092</v>
      </c>
      <c r="Q145" s="1" t="s">
        <v>31</v>
      </c>
    </row>
    <row r="146" spans="1:17" x14ac:dyDescent="0.2">
      <c r="A146" s="1">
        <v>168</v>
      </c>
      <c r="B146" s="1" t="s">
        <v>1701</v>
      </c>
      <c r="C146" s="1">
        <v>235</v>
      </c>
      <c r="D146" s="1" t="s">
        <v>22</v>
      </c>
      <c r="E146" s="1" t="s">
        <v>23</v>
      </c>
    </row>
    <row r="147" spans="1:17" x14ac:dyDescent="0.2">
      <c r="A147" s="1">
        <v>169</v>
      </c>
      <c r="B147" s="1" t="s">
        <v>1093</v>
      </c>
      <c r="C147" s="1" t="s">
        <v>1094</v>
      </c>
      <c r="D147" s="1" t="s">
        <v>22</v>
      </c>
      <c r="E147" s="1" t="s">
        <v>23</v>
      </c>
      <c r="F147" s="1" t="s">
        <v>1095</v>
      </c>
      <c r="G147" s="1" t="s">
        <v>1096</v>
      </c>
      <c r="H147" s="1" t="s">
        <v>26</v>
      </c>
      <c r="I147" s="1" t="s">
        <v>1097</v>
      </c>
      <c r="J147" s="1" t="s">
        <v>1098</v>
      </c>
      <c r="K147" s="1" t="s">
        <v>1099</v>
      </c>
      <c r="L147" s="1" t="s">
        <v>1100</v>
      </c>
      <c r="M147" s="1" t="s">
        <v>31</v>
      </c>
      <c r="N147" s="1" t="s">
        <v>31</v>
      </c>
      <c r="O147" s="1" t="s">
        <v>31</v>
      </c>
      <c r="P147" s="1" t="s">
        <v>1101</v>
      </c>
      <c r="Q147" s="1" t="s">
        <v>31</v>
      </c>
    </row>
    <row r="148" spans="1:17" x14ac:dyDescent="0.2">
      <c r="A148" s="1">
        <v>170</v>
      </c>
      <c r="B148" s="1" t="s">
        <v>1702</v>
      </c>
      <c r="C148" s="1">
        <v>109</v>
      </c>
      <c r="D148" s="1" t="s">
        <v>22</v>
      </c>
      <c r="F148" s="30" t="s">
        <v>391</v>
      </c>
      <c r="G148" s="30" t="s">
        <v>1703</v>
      </c>
      <c r="H148" s="30" t="s">
        <v>675</v>
      </c>
      <c r="I148" s="30" t="s">
        <v>87</v>
      </c>
      <c r="J148" s="30" t="s">
        <v>1704</v>
      </c>
      <c r="K148" s="30" t="s">
        <v>1704</v>
      </c>
      <c r="L148" s="30" t="s">
        <v>1705</v>
      </c>
      <c r="M148" s="30" t="s">
        <v>1706</v>
      </c>
      <c r="N148" s="30" t="s">
        <v>31</v>
      </c>
    </row>
    <row r="149" spans="1:17" x14ac:dyDescent="0.2">
      <c r="A149" s="1">
        <v>171</v>
      </c>
      <c r="B149" s="1" t="s">
        <v>1103</v>
      </c>
      <c r="C149" s="1" t="s">
        <v>1104</v>
      </c>
      <c r="D149" s="1" t="s">
        <v>1105</v>
      </c>
      <c r="E149" s="1" t="s">
        <v>23</v>
      </c>
      <c r="F149" s="1" t="s">
        <v>1106</v>
      </c>
      <c r="G149" s="1" t="s">
        <v>1107</v>
      </c>
      <c r="H149" s="1" t="s">
        <v>26</v>
      </c>
      <c r="I149" s="1" t="s">
        <v>1108</v>
      </c>
      <c r="J149" s="1" t="s">
        <v>31</v>
      </c>
      <c r="K149" s="1" t="s">
        <v>1109</v>
      </c>
      <c r="L149" s="1" t="s">
        <v>1110</v>
      </c>
      <c r="M149" s="1" t="s">
        <v>31</v>
      </c>
      <c r="N149" s="1" t="s">
        <v>31</v>
      </c>
      <c r="O149" s="1" t="s">
        <v>31</v>
      </c>
      <c r="P149" s="1" t="s">
        <v>1111</v>
      </c>
      <c r="Q149" s="1" t="s">
        <v>31</v>
      </c>
    </row>
    <row r="150" spans="1:17" x14ac:dyDescent="0.2">
      <c r="A150" s="1">
        <v>172</v>
      </c>
      <c r="B150" s="1" t="s">
        <v>1112</v>
      </c>
      <c r="C150" s="1" t="s">
        <v>1113</v>
      </c>
      <c r="D150" s="1" t="s">
        <v>22</v>
      </c>
      <c r="E150" s="1" t="s">
        <v>23</v>
      </c>
      <c r="F150" s="1" t="s">
        <v>1114</v>
      </c>
      <c r="G150" s="1" t="s">
        <v>1115</v>
      </c>
      <c r="H150" s="1" t="s">
        <v>26</v>
      </c>
      <c r="I150" s="1" t="s">
        <v>1116</v>
      </c>
      <c r="J150" s="1" t="s">
        <v>1117</v>
      </c>
      <c r="K150" s="1" t="s">
        <v>1118</v>
      </c>
      <c r="L150" s="1" t="s">
        <v>1119</v>
      </c>
      <c r="M150" s="1" t="s">
        <v>31</v>
      </c>
      <c r="N150" s="1" t="s">
        <v>31</v>
      </c>
      <c r="O150" s="1" t="s">
        <v>31</v>
      </c>
      <c r="P150" s="1" t="s">
        <v>1120</v>
      </c>
      <c r="Q150" s="1" t="s">
        <v>31</v>
      </c>
    </row>
    <row r="151" spans="1:17" x14ac:dyDescent="0.2">
      <c r="A151" s="1">
        <v>173</v>
      </c>
      <c r="B151" s="1" t="s">
        <v>1121</v>
      </c>
      <c r="C151" s="1" t="s">
        <v>1122</v>
      </c>
      <c r="D151" s="1" t="s">
        <v>22</v>
      </c>
      <c r="E151" s="1" t="s">
        <v>23</v>
      </c>
      <c r="F151" s="1" t="s">
        <v>1123</v>
      </c>
      <c r="G151" s="1" t="s">
        <v>1124</v>
      </c>
      <c r="H151" s="1" t="s">
        <v>26</v>
      </c>
      <c r="I151" s="1" t="s">
        <v>1125</v>
      </c>
      <c r="J151" s="1" t="s">
        <v>1126</v>
      </c>
      <c r="K151" s="1" t="s">
        <v>1127</v>
      </c>
      <c r="L151" s="1" t="s">
        <v>1128</v>
      </c>
      <c r="M151" s="1" t="s">
        <v>31</v>
      </c>
      <c r="N151" s="1" t="s">
        <v>31</v>
      </c>
      <c r="O151" s="1" t="s">
        <v>31</v>
      </c>
      <c r="P151" s="1" t="s">
        <v>1129</v>
      </c>
      <c r="Q151" s="1" t="s">
        <v>31</v>
      </c>
    </row>
    <row r="152" spans="1:17" x14ac:dyDescent="0.2">
      <c r="A152" s="1">
        <v>174</v>
      </c>
      <c r="B152" s="1" t="s">
        <v>1130</v>
      </c>
      <c r="C152" s="1" t="s">
        <v>1131</v>
      </c>
      <c r="D152" s="1" t="s">
        <v>22</v>
      </c>
      <c r="E152" s="1" t="s">
        <v>23</v>
      </c>
      <c r="F152" s="1" t="s">
        <v>1132</v>
      </c>
      <c r="G152" s="1" t="s">
        <v>848</v>
      </c>
      <c r="H152" s="1" t="s">
        <v>339</v>
      </c>
      <c r="I152" s="1" t="s">
        <v>1133</v>
      </c>
      <c r="J152" s="1" t="s">
        <v>31</v>
      </c>
      <c r="K152" s="1" t="s">
        <v>1134</v>
      </c>
      <c r="L152" s="1" t="s">
        <v>1135</v>
      </c>
      <c r="M152" s="1" t="s">
        <v>31</v>
      </c>
      <c r="N152" s="1" t="s">
        <v>31</v>
      </c>
      <c r="O152" s="1" t="s">
        <v>31</v>
      </c>
      <c r="P152" s="1" t="s">
        <v>1136</v>
      </c>
      <c r="Q152" s="1" t="s">
        <v>31</v>
      </c>
    </row>
    <row r="153" spans="1:17" x14ac:dyDescent="0.2">
      <c r="A153" s="1">
        <v>175</v>
      </c>
      <c r="B153" s="1" t="s">
        <v>1137</v>
      </c>
      <c r="C153" s="1" t="s">
        <v>1138</v>
      </c>
      <c r="D153" s="1" t="s">
        <v>22</v>
      </c>
      <c r="E153" s="1" t="s">
        <v>23</v>
      </c>
      <c r="F153" s="1" t="s">
        <v>1139</v>
      </c>
      <c r="G153" s="1" t="s">
        <v>167</v>
      </c>
      <c r="H153" s="1" t="s">
        <v>87</v>
      </c>
      <c r="I153" s="1" t="s">
        <v>1140</v>
      </c>
      <c r="J153" s="1" t="s">
        <v>1141</v>
      </c>
      <c r="K153" s="1" t="s">
        <v>1142</v>
      </c>
      <c r="L153" s="1" t="s">
        <v>1143</v>
      </c>
      <c r="M153" s="1" t="s">
        <v>31</v>
      </c>
      <c r="N153" s="1" t="s">
        <v>31</v>
      </c>
      <c r="O153" s="1" t="s">
        <v>31</v>
      </c>
      <c r="P153" s="1" t="s">
        <v>1144</v>
      </c>
      <c r="Q153" s="1" t="s">
        <v>31</v>
      </c>
    </row>
    <row r="154" spans="1:17" x14ac:dyDescent="0.2">
      <c r="A154" s="1">
        <v>176</v>
      </c>
      <c r="B154" s="1" t="s">
        <v>1145</v>
      </c>
      <c r="C154" s="1" t="s">
        <v>1146</v>
      </c>
      <c r="D154" s="1" t="s">
        <v>22</v>
      </c>
      <c r="E154" s="1" t="s">
        <v>23</v>
      </c>
      <c r="F154" s="1" t="s">
        <v>1147</v>
      </c>
      <c r="G154" s="1" t="s">
        <v>1148</v>
      </c>
      <c r="H154" s="1" t="s">
        <v>26</v>
      </c>
      <c r="I154" s="1" t="s">
        <v>1149</v>
      </c>
      <c r="J154" s="1" t="s">
        <v>1150</v>
      </c>
      <c r="K154" s="1" t="s">
        <v>1151</v>
      </c>
      <c r="L154" s="1" t="s">
        <v>1152</v>
      </c>
      <c r="M154" s="1" t="s">
        <v>31</v>
      </c>
      <c r="N154" s="1" t="s">
        <v>31</v>
      </c>
      <c r="O154" s="1" t="s">
        <v>31</v>
      </c>
      <c r="P154" s="1" t="s">
        <v>1153</v>
      </c>
      <c r="Q154" s="1" t="s">
        <v>31</v>
      </c>
    </row>
    <row r="155" spans="1:17" x14ac:dyDescent="0.2">
      <c r="A155" s="1">
        <v>177</v>
      </c>
      <c r="B155" s="1" t="s">
        <v>1154</v>
      </c>
      <c r="C155" s="1" t="s">
        <v>1155</v>
      </c>
      <c r="D155" s="1" t="s">
        <v>35</v>
      </c>
      <c r="E155" s="1" t="s">
        <v>23</v>
      </c>
      <c r="F155" s="1" t="s">
        <v>1156</v>
      </c>
      <c r="G155" s="1" t="s">
        <v>1107</v>
      </c>
      <c r="H155" s="1" t="s">
        <v>87</v>
      </c>
      <c r="I155" s="1" t="s">
        <v>1157</v>
      </c>
      <c r="J155" s="1" t="s">
        <v>31</v>
      </c>
      <c r="K155" s="1" t="s">
        <v>1158</v>
      </c>
      <c r="L155" s="1" t="s">
        <v>1110</v>
      </c>
      <c r="M155" s="1" t="s">
        <v>31</v>
      </c>
      <c r="N155" s="1" t="s">
        <v>31</v>
      </c>
      <c r="O155" s="1" t="s">
        <v>31</v>
      </c>
      <c r="P155" s="1" t="s">
        <v>31</v>
      </c>
      <c r="Q155" s="1" t="s">
        <v>31</v>
      </c>
    </row>
    <row r="156" spans="1:17" x14ac:dyDescent="0.2">
      <c r="A156" s="1">
        <v>178</v>
      </c>
      <c r="B156" s="1" t="s">
        <v>1159</v>
      </c>
      <c r="C156" s="1" t="s">
        <v>1160</v>
      </c>
      <c r="D156" s="1" t="s">
        <v>22</v>
      </c>
      <c r="E156" s="1" t="s">
        <v>23</v>
      </c>
      <c r="F156" s="1" t="s">
        <v>1161</v>
      </c>
      <c r="G156" s="1" t="s">
        <v>31</v>
      </c>
      <c r="H156" s="1" t="s">
        <v>202</v>
      </c>
      <c r="I156" s="1" t="s">
        <v>1162</v>
      </c>
      <c r="J156" s="1" t="s">
        <v>31</v>
      </c>
      <c r="K156" s="1" t="s">
        <v>1163</v>
      </c>
      <c r="L156" s="1" t="s">
        <v>31</v>
      </c>
      <c r="M156" s="1" t="s">
        <v>31</v>
      </c>
      <c r="N156" s="1" t="s">
        <v>31</v>
      </c>
      <c r="O156" s="1" t="s">
        <v>31</v>
      </c>
      <c r="P156" s="1" t="s">
        <v>31</v>
      </c>
      <c r="Q156" s="1" t="s">
        <v>31</v>
      </c>
    </row>
    <row r="157" spans="1:17" x14ac:dyDescent="0.2">
      <c r="A157" s="1">
        <v>179</v>
      </c>
      <c r="B157" s="1" t="s">
        <v>1164</v>
      </c>
      <c r="C157" s="1" t="s">
        <v>1165</v>
      </c>
      <c r="D157" s="1" t="s">
        <v>35</v>
      </c>
      <c r="E157" s="1" t="s">
        <v>23</v>
      </c>
      <c r="F157" s="1" t="s">
        <v>1166</v>
      </c>
      <c r="G157" s="1" t="s">
        <v>292</v>
      </c>
      <c r="H157" s="1" t="s">
        <v>87</v>
      </c>
      <c r="I157" s="1" t="s">
        <v>1167</v>
      </c>
      <c r="J157" s="1" t="s">
        <v>1168</v>
      </c>
      <c r="K157" s="1" t="s">
        <v>1169</v>
      </c>
      <c r="L157" s="1" t="s">
        <v>1170</v>
      </c>
      <c r="M157" s="1" t="s">
        <v>31</v>
      </c>
      <c r="N157" s="1" t="s">
        <v>31</v>
      </c>
      <c r="O157" s="1" t="s">
        <v>31</v>
      </c>
      <c r="P157" s="1" t="s">
        <v>31</v>
      </c>
      <c r="Q157" s="1" t="s">
        <v>31</v>
      </c>
    </row>
    <row r="158" spans="1:17" x14ac:dyDescent="0.2">
      <c r="A158" s="1">
        <v>180</v>
      </c>
      <c r="B158" s="1" t="s">
        <v>1171</v>
      </c>
      <c r="C158" s="1" t="s">
        <v>1172</v>
      </c>
      <c r="D158" s="1" t="s">
        <v>22</v>
      </c>
      <c r="E158" s="1" t="s">
        <v>23</v>
      </c>
      <c r="F158" s="1" t="s">
        <v>1173</v>
      </c>
      <c r="G158" s="1" t="s">
        <v>167</v>
      </c>
      <c r="H158" s="1" t="s">
        <v>26</v>
      </c>
      <c r="I158" s="1" t="s">
        <v>1174</v>
      </c>
      <c r="J158" s="1" t="s">
        <v>31</v>
      </c>
      <c r="K158" s="1" t="s">
        <v>1175</v>
      </c>
      <c r="L158" s="1" t="s">
        <v>1176</v>
      </c>
      <c r="M158" s="1" t="s">
        <v>31</v>
      </c>
      <c r="N158" s="1" t="s">
        <v>31</v>
      </c>
      <c r="O158" s="1" t="s">
        <v>31</v>
      </c>
      <c r="P158" s="1" t="s">
        <v>1177</v>
      </c>
      <c r="Q158" s="1" t="s">
        <v>31</v>
      </c>
    </row>
    <row r="159" spans="1:17" x14ac:dyDescent="0.2">
      <c r="A159" s="1">
        <v>182</v>
      </c>
      <c r="B159" s="1" t="s">
        <v>1178</v>
      </c>
      <c r="C159" s="1" t="s">
        <v>1179</v>
      </c>
      <c r="D159" s="1" t="s">
        <v>35</v>
      </c>
      <c r="E159" s="1" t="s">
        <v>391</v>
      </c>
      <c r="F159" s="1" t="s">
        <v>1180</v>
      </c>
      <c r="G159" s="1" t="s">
        <v>1181</v>
      </c>
      <c r="H159" s="1" t="s">
        <v>26</v>
      </c>
      <c r="I159" s="1" t="s">
        <v>1182</v>
      </c>
      <c r="J159" s="1" t="s">
        <v>31</v>
      </c>
      <c r="K159" s="1" t="s">
        <v>31</v>
      </c>
      <c r="L159" s="1" t="s">
        <v>1183</v>
      </c>
      <c r="M159" s="1" t="s">
        <v>31</v>
      </c>
      <c r="N159" s="1" t="s">
        <v>31</v>
      </c>
      <c r="O159" s="1" t="s">
        <v>31</v>
      </c>
      <c r="P159" s="1" t="s">
        <v>31</v>
      </c>
      <c r="Q159" s="1" t="s">
        <v>31</v>
      </c>
    </row>
    <row r="160" spans="1:17" s="29" customFormat="1" x14ac:dyDescent="0.2">
      <c r="A160" s="29">
        <v>183</v>
      </c>
      <c r="B160" s="29" t="s">
        <v>1655</v>
      </c>
      <c r="C160" s="29" t="s">
        <v>1656</v>
      </c>
      <c r="D160" s="29" t="s">
        <v>22</v>
      </c>
      <c r="E160" s="29" t="s">
        <v>23</v>
      </c>
      <c r="F160" s="29" t="s">
        <v>31</v>
      </c>
      <c r="G160" s="29" t="s">
        <v>31</v>
      </c>
      <c r="H160" s="29" t="s">
        <v>31</v>
      </c>
      <c r="I160" s="29" t="s">
        <v>31</v>
      </c>
      <c r="J160" s="29" t="s">
        <v>31</v>
      </c>
      <c r="K160" s="29" t="s">
        <v>31</v>
      </c>
      <c r="L160" s="29" t="s">
        <v>31</v>
      </c>
      <c r="M160" s="29" t="s">
        <v>31</v>
      </c>
      <c r="N160" s="29" t="s">
        <v>31</v>
      </c>
      <c r="O160" s="29" t="s">
        <v>31</v>
      </c>
      <c r="P160" s="29" t="s">
        <v>31</v>
      </c>
      <c r="Q160" s="29" t="s">
        <v>31</v>
      </c>
    </row>
    <row r="161" spans="1:17" x14ac:dyDescent="0.2">
      <c r="A161" s="1">
        <v>184</v>
      </c>
      <c r="B161" s="1" t="s">
        <v>1184</v>
      </c>
      <c r="C161" s="1" t="s">
        <v>1185</v>
      </c>
      <c r="D161" s="1" t="s">
        <v>22</v>
      </c>
      <c r="E161" s="1" t="s">
        <v>23</v>
      </c>
      <c r="F161" s="1" t="s">
        <v>1186</v>
      </c>
      <c r="G161" s="1" t="s">
        <v>796</v>
      </c>
      <c r="H161" s="1" t="s">
        <v>26</v>
      </c>
      <c r="I161" s="1" t="s">
        <v>1187</v>
      </c>
      <c r="J161" s="1" t="s">
        <v>31</v>
      </c>
      <c r="K161" s="1" t="s">
        <v>1188</v>
      </c>
      <c r="L161" s="1" t="s">
        <v>1189</v>
      </c>
      <c r="M161" s="1" t="s">
        <v>31</v>
      </c>
      <c r="N161" s="1" t="s">
        <v>31</v>
      </c>
      <c r="O161" s="1" t="s">
        <v>31</v>
      </c>
      <c r="P161" s="1" t="s">
        <v>1190</v>
      </c>
      <c r="Q161" s="1" t="s">
        <v>31</v>
      </c>
    </row>
    <row r="162" spans="1:17" x14ac:dyDescent="0.2">
      <c r="A162" s="1">
        <v>185</v>
      </c>
      <c r="B162" s="1" t="s">
        <v>1191</v>
      </c>
      <c r="C162" s="1" t="s">
        <v>1192</v>
      </c>
      <c r="D162" s="1" t="s">
        <v>22</v>
      </c>
      <c r="E162" s="1" t="s">
        <v>23</v>
      </c>
      <c r="F162" s="1" t="s">
        <v>1193</v>
      </c>
      <c r="G162" s="1" t="s">
        <v>31</v>
      </c>
      <c r="H162" s="1" t="s">
        <v>339</v>
      </c>
      <c r="I162" s="1" t="s">
        <v>1194</v>
      </c>
      <c r="J162" s="1" t="s">
        <v>31</v>
      </c>
      <c r="K162" s="1" t="s">
        <v>1195</v>
      </c>
      <c r="L162" s="1" t="s">
        <v>1196</v>
      </c>
      <c r="M162" s="1" t="s">
        <v>31</v>
      </c>
      <c r="N162" s="1" t="s">
        <v>31</v>
      </c>
      <c r="O162" s="1" t="s">
        <v>31</v>
      </c>
      <c r="P162" s="1" t="s">
        <v>31</v>
      </c>
      <c r="Q162" s="1" t="s">
        <v>31</v>
      </c>
    </row>
    <row r="163" spans="1:17" x14ac:dyDescent="0.2">
      <c r="A163" s="1">
        <v>186</v>
      </c>
      <c r="B163" s="1" t="s">
        <v>1197</v>
      </c>
      <c r="C163" s="1" t="s">
        <v>1198</v>
      </c>
      <c r="D163" s="1" t="s">
        <v>22</v>
      </c>
      <c r="E163" s="1" t="s">
        <v>23</v>
      </c>
      <c r="F163" s="1" t="s">
        <v>1199</v>
      </c>
      <c r="G163" s="1" t="s">
        <v>1200</v>
      </c>
      <c r="H163" s="1" t="s">
        <v>26</v>
      </c>
      <c r="I163" s="1" t="s">
        <v>1201</v>
      </c>
      <c r="J163" s="1" t="s">
        <v>31</v>
      </c>
      <c r="K163" s="1" t="s">
        <v>1202</v>
      </c>
      <c r="L163" s="1" t="s">
        <v>1203</v>
      </c>
      <c r="M163" s="1" t="s">
        <v>31</v>
      </c>
      <c r="N163" s="1" t="s">
        <v>1204</v>
      </c>
      <c r="O163" s="1" t="s">
        <v>31</v>
      </c>
      <c r="P163" s="1" t="s">
        <v>1205</v>
      </c>
      <c r="Q163" s="1" t="s">
        <v>31</v>
      </c>
    </row>
    <row r="164" spans="1:17" x14ac:dyDescent="0.2">
      <c r="A164" s="1">
        <v>188</v>
      </c>
      <c r="B164" s="1" t="s">
        <v>1690</v>
      </c>
      <c r="C164" s="1" t="s">
        <v>1619</v>
      </c>
      <c r="D164" s="1" t="s">
        <v>22</v>
      </c>
      <c r="F164" s="1" t="s">
        <v>23</v>
      </c>
      <c r="G164" s="1" t="s">
        <v>1691</v>
      </c>
      <c r="H164" s="1" t="s">
        <v>393</v>
      </c>
      <c r="I164" s="1" t="s">
        <v>394</v>
      </c>
      <c r="J164" s="1" t="s">
        <v>1692</v>
      </c>
      <c r="K164" s="1" t="s">
        <v>1692</v>
      </c>
      <c r="L164" s="1" t="s">
        <v>1693</v>
      </c>
      <c r="M164" s="1" t="s">
        <v>1694</v>
      </c>
    </row>
    <row r="165" spans="1:17" x14ac:dyDescent="0.2">
      <c r="A165" s="1">
        <v>189</v>
      </c>
      <c r="B165" s="1" t="s">
        <v>1206</v>
      </c>
      <c r="C165" s="1" t="s">
        <v>1207</v>
      </c>
      <c r="D165" s="1" t="s">
        <v>22</v>
      </c>
      <c r="E165" s="1" t="s">
        <v>23</v>
      </c>
      <c r="F165" s="1" t="s">
        <v>1208</v>
      </c>
      <c r="G165" s="1" t="s">
        <v>582</v>
      </c>
      <c r="H165" s="1" t="s">
        <v>26</v>
      </c>
      <c r="I165" s="1" t="s">
        <v>1209</v>
      </c>
      <c r="J165" s="1" t="s">
        <v>31</v>
      </c>
      <c r="K165" s="1" t="s">
        <v>1210</v>
      </c>
      <c r="L165" s="1" t="s">
        <v>1211</v>
      </c>
      <c r="M165" s="1" t="s">
        <v>31</v>
      </c>
      <c r="N165" s="1" t="s">
        <v>31</v>
      </c>
      <c r="O165" s="1" t="s">
        <v>31</v>
      </c>
      <c r="P165" s="1" t="s">
        <v>1212</v>
      </c>
      <c r="Q165" s="1" t="s">
        <v>31</v>
      </c>
    </row>
    <row r="166" spans="1:17" x14ac:dyDescent="0.2">
      <c r="A166" s="1">
        <v>192</v>
      </c>
      <c r="B166" s="1" t="s">
        <v>1213</v>
      </c>
      <c r="C166" s="1" t="s">
        <v>1214</v>
      </c>
      <c r="D166" s="1" t="s">
        <v>22</v>
      </c>
      <c r="E166" s="1" t="s">
        <v>23</v>
      </c>
      <c r="F166" s="1" t="s">
        <v>1215</v>
      </c>
      <c r="G166" s="1" t="s">
        <v>1216</v>
      </c>
      <c r="H166" s="1" t="s">
        <v>26</v>
      </c>
      <c r="I166" s="1" t="s">
        <v>1217</v>
      </c>
      <c r="J166" s="1" t="s">
        <v>31</v>
      </c>
      <c r="K166" s="1" t="s">
        <v>1218</v>
      </c>
      <c r="L166" s="1" t="s">
        <v>1219</v>
      </c>
      <c r="M166" s="1" t="s">
        <v>31</v>
      </c>
      <c r="N166" s="1" t="s">
        <v>31</v>
      </c>
      <c r="O166" s="1" t="s">
        <v>31</v>
      </c>
      <c r="P166" s="1" t="s">
        <v>1220</v>
      </c>
      <c r="Q166" s="1" t="s">
        <v>31</v>
      </c>
    </row>
    <row r="167" spans="1:17" x14ac:dyDescent="0.2">
      <c r="A167" s="1">
        <v>193</v>
      </c>
      <c r="B167" s="1" t="s">
        <v>1221</v>
      </c>
      <c r="C167" s="1" t="s">
        <v>1222</v>
      </c>
      <c r="D167" s="1" t="s">
        <v>22</v>
      </c>
      <c r="E167" s="1" t="s">
        <v>391</v>
      </c>
      <c r="F167" s="1" t="s">
        <v>1223</v>
      </c>
      <c r="G167" s="1" t="s">
        <v>393</v>
      </c>
      <c r="H167" s="1" t="s">
        <v>450</v>
      </c>
      <c r="I167" s="1" t="s">
        <v>1224</v>
      </c>
      <c r="J167" s="1" t="s">
        <v>31</v>
      </c>
      <c r="K167" s="1" t="s">
        <v>1225</v>
      </c>
      <c r="L167" s="1" t="s">
        <v>1226</v>
      </c>
      <c r="M167" s="1" t="s">
        <v>31</v>
      </c>
      <c r="N167" s="1" t="s">
        <v>31</v>
      </c>
      <c r="O167" s="1" t="s">
        <v>31</v>
      </c>
      <c r="P167" s="1" t="s">
        <v>31</v>
      </c>
      <c r="Q167" s="1" t="s">
        <v>31</v>
      </c>
    </row>
    <row r="168" spans="1:17" x14ac:dyDescent="0.2">
      <c r="A168" s="1">
        <v>194</v>
      </c>
      <c r="B168" s="1" t="s">
        <v>1227</v>
      </c>
      <c r="C168" s="1" t="s">
        <v>1228</v>
      </c>
      <c r="D168" s="1" t="s">
        <v>35</v>
      </c>
      <c r="E168" s="1" t="s">
        <v>391</v>
      </c>
      <c r="F168" s="1" t="s">
        <v>1229</v>
      </c>
      <c r="G168" s="1" t="s">
        <v>1230</v>
      </c>
      <c r="H168" s="1" t="s">
        <v>339</v>
      </c>
      <c r="I168" s="1" t="s">
        <v>1231</v>
      </c>
      <c r="J168" s="1" t="s">
        <v>1231</v>
      </c>
      <c r="K168" s="1" t="s">
        <v>1232</v>
      </c>
      <c r="L168" s="1" t="s">
        <v>1233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31</v>
      </c>
    </row>
    <row r="169" spans="1:17" x14ac:dyDescent="0.2">
      <c r="A169" s="1">
        <v>196</v>
      </c>
      <c r="B169" s="1" t="s">
        <v>1234</v>
      </c>
      <c r="C169" s="1" t="s">
        <v>1235</v>
      </c>
      <c r="D169" s="1" t="s">
        <v>22</v>
      </c>
      <c r="E169" s="1" t="s">
        <v>23</v>
      </c>
      <c r="F169" s="1" t="s">
        <v>1236</v>
      </c>
      <c r="G169" s="1" t="s">
        <v>1071</v>
      </c>
      <c r="H169" s="1" t="s">
        <v>26</v>
      </c>
      <c r="I169" s="1" t="s">
        <v>1237</v>
      </c>
      <c r="J169" s="1" t="s">
        <v>31</v>
      </c>
      <c r="K169" s="1" t="s">
        <v>1238</v>
      </c>
      <c r="L169" s="1" t="s">
        <v>1239</v>
      </c>
      <c r="M169" s="1" t="s">
        <v>31</v>
      </c>
      <c r="N169" s="1" t="s">
        <v>31</v>
      </c>
      <c r="O169" s="1" t="s">
        <v>31</v>
      </c>
      <c r="P169" s="1" t="s">
        <v>1240</v>
      </c>
      <c r="Q169" s="1" t="s">
        <v>31</v>
      </c>
    </row>
    <row r="170" spans="1:17" x14ac:dyDescent="0.2">
      <c r="A170" s="1">
        <v>197</v>
      </c>
      <c r="B170" s="1" t="s">
        <v>1241</v>
      </c>
      <c r="C170" s="1" t="s">
        <v>1242</v>
      </c>
      <c r="D170" s="1" t="s">
        <v>22</v>
      </c>
      <c r="E170" s="1" t="s">
        <v>23</v>
      </c>
      <c r="F170" s="1" t="s">
        <v>1243</v>
      </c>
      <c r="G170" s="1" t="s">
        <v>1244</v>
      </c>
      <c r="H170" s="1" t="s">
        <v>1245</v>
      </c>
      <c r="I170" s="1" t="s">
        <v>1246</v>
      </c>
      <c r="J170" s="1" t="s">
        <v>31</v>
      </c>
      <c r="K170" s="1" t="s">
        <v>1247</v>
      </c>
      <c r="L170" s="1" t="s">
        <v>1248</v>
      </c>
      <c r="M170" s="1" t="s">
        <v>31</v>
      </c>
      <c r="N170" s="1" t="s">
        <v>31</v>
      </c>
      <c r="O170" s="1" t="s">
        <v>31</v>
      </c>
      <c r="P170" s="1" t="s">
        <v>31</v>
      </c>
      <c r="Q170" s="1" t="s">
        <v>31</v>
      </c>
    </row>
    <row r="171" spans="1:17" x14ac:dyDescent="0.2">
      <c r="A171" s="1">
        <v>199</v>
      </c>
      <c r="B171" s="1" t="s">
        <v>1249</v>
      </c>
      <c r="C171" s="1" t="s">
        <v>1250</v>
      </c>
      <c r="D171" s="1" t="s">
        <v>35</v>
      </c>
      <c r="E171" s="1" t="s">
        <v>23</v>
      </c>
      <c r="F171" s="1" t="s">
        <v>31</v>
      </c>
      <c r="G171" s="1" t="s">
        <v>31</v>
      </c>
      <c r="H171" s="1" t="s">
        <v>31</v>
      </c>
      <c r="I171" s="1" t="s">
        <v>31</v>
      </c>
      <c r="J171" s="1" t="s">
        <v>31</v>
      </c>
      <c r="K171" s="1" t="s">
        <v>31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</row>
    <row r="172" spans="1:17" x14ac:dyDescent="0.2">
      <c r="A172" s="1">
        <v>200</v>
      </c>
      <c r="B172" s="1" t="s">
        <v>1251</v>
      </c>
      <c r="C172" s="1" t="s">
        <v>1252</v>
      </c>
      <c r="D172" s="1" t="s">
        <v>22</v>
      </c>
      <c r="E172" s="1" t="s">
        <v>23</v>
      </c>
      <c r="F172" s="1" t="s">
        <v>1253</v>
      </c>
      <c r="G172" s="1" t="s">
        <v>103</v>
      </c>
      <c r="H172" s="1" t="s">
        <v>339</v>
      </c>
      <c r="I172" s="1" t="s">
        <v>1254</v>
      </c>
      <c r="J172" s="1" t="s">
        <v>31</v>
      </c>
      <c r="K172" s="1" t="s">
        <v>1255</v>
      </c>
      <c r="L172" s="1" t="s">
        <v>1256</v>
      </c>
      <c r="M172" s="1" t="s">
        <v>31</v>
      </c>
      <c r="N172" s="1" t="s">
        <v>31</v>
      </c>
      <c r="O172" s="1" t="s">
        <v>31</v>
      </c>
      <c r="P172" s="1" t="s">
        <v>1257</v>
      </c>
      <c r="Q172" s="1" t="s">
        <v>31</v>
      </c>
    </row>
    <row r="173" spans="1:17" x14ac:dyDescent="0.2">
      <c r="A173" s="1">
        <v>201</v>
      </c>
      <c r="B173" s="1" t="s">
        <v>1258</v>
      </c>
      <c r="C173" s="1" t="s">
        <v>1259</v>
      </c>
      <c r="D173" s="1" t="s">
        <v>22</v>
      </c>
      <c r="E173" s="1" t="s">
        <v>23</v>
      </c>
      <c r="F173" s="1" t="s">
        <v>1260</v>
      </c>
      <c r="G173" s="1" t="s">
        <v>1071</v>
      </c>
      <c r="H173" s="1" t="s">
        <v>26</v>
      </c>
      <c r="I173" s="1" t="s">
        <v>1261</v>
      </c>
      <c r="J173" s="1" t="s">
        <v>31</v>
      </c>
      <c r="K173" s="1" t="s">
        <v>1262</v>
      </c>
      <c r="L173" s="1" t="s">
        <v>1263</v>
      </c>
      <c r="M173" s="1" t="s">
        <v>31</v>
      </c>
      <c r="N173" s="1" t="s">
        <v>31</v>
      </c>
      <c r="O173" s="1" t="s">
        <v>31</v>
      </c>
      <c r="P173" s="1" t="s">
        <v>1264</v>
      </c>
      <c r="Q173" s="1" t="s">
        <v>31</v>
      </c>
    </row>
    <row r="174" spans="1:17" x14ac:dyDescent="0.2">
      <c r="A174" s="1">
        <v>202</v>
      </c>
      <c r="B174" s="1" t="s">
        <v>1265</v>
      </c>
      <c r="C174" s="1" t="s">
        <v>1266</v>
      </c>
      <c r="D174" s="1" t="s">
        <v>22</v>
      </c>
      <c r="E174" s="1" t="s">
        <v>391</v>
      </c>
      <c r="F174" s="1" t="s">
        <v>1267</v>
      </c>
      <c r="G174" s="1" t="s">
        <v>393</v>
      </c>
      <c r="H174" s="1" t="s">
        <v>394</v>
      </c>
      <c r="I174" s="1" t="s">
        <v>1268</v>
      </c>
      <c r="J174" s="1" t="s">
        <v>1268</v>
      </c>
      <c r="K174" s="1" t="s">
        <v>1269</v>
      </c>
      <c r="L174" s="1" t="s">
        <v>1270</v>
      </c>
      <c r="M174" s="1" t="s">
        <v>31</v>
      </c>
      <c r="N174" s="1" t="s">
        <v>31</v>
      </c>
      <c r="O174" s="1" t="s">
        <v>31</v>
      </c>
      <c r="P174" s="1" t="s">
        <v>31</v>
      </c>
      <c r="Q174" s="1" t="s">
        <v>31</v>
      </c>
    </row>
    <row r="175" spans="1:17" x14ac:dyDescent="0.2">
      <c r="A175" s="1">
        <v>203</v>
      </c>
      <c r="B175" s="1" t="s">
        <v>1271</v>
      </c>
      <c r="C175" s="1" t="s">
        <v>1272</v>
      </c>
      <c r="D175" s="1" t="s">
        <v>22</v>
      </c>
      <c r="E175" s="1" t="s">
        <v>23</v>
      </c>
      <c r="F175" s="1" t="s">
        <v>1273</v>
      </c>
      <c r="G175" s="1" t="s">
        <v>1274</v>
      </c>
      <c r="H175" s="1" t="s">
        <v>87</v>
      </c>
      <c r="I175" s="1" t="s">
        <v>1275</v>
      </c>
      <c r="J175" s="1" t="s">
        <v>31</v>
      </c>
      <c r="K175" s="1" t="s">
        <v>1276</v>
      </c>
      <c r="L175" s="1" t="s">
        <v>1277</v>
      </c>
      <c r="M175" s="1" t="s">
        <v>31</v>
      </c>
      <c r="N175" s="1" t="s">
        <v>31</v>
      </c>
      <c r="O175" s="1" t="s">
        <v>31</v>
      </c>
      <c r="P175" s="1" t="s">
        <v>31</v>
      </c>
      <c r="Q175" s="1" t="s">
        <v>31</v>
      </c>
    </row>
    <row r="176" spans="1:17" x14ac:dyDescent="0.2">
      <c r="A176" s="1">
        <v>204</v>
      </c>
      <c r="B176" s="1" t="s">
        <v>1278</v>
      </c>
      <c r="C176" s="1" t="s">
        <v>1279</v>
      </c>
      <c r="D176" s="1" t="s">
        <v>22</v>
      </c>
      <c r="E176" s="1" t="s">
        <v>23</v>
      </c>
      <c r="F176" s="1" t="s">
        <v>1280</v>
      </c>
      <c r="G176" s="1" t="s">
        <v>675</v>
      </c>
      <c r="H176" s="1" t="s">
        <v>87</v>
      </c>
      <c r="I176" s="1" t="s">
        <v>1281</v>
      </c>
      <c r="J176" s="1" t="s">
        <v>1281</v>
      </c>
      <c r="K176" s="1" t="s">
        <v>1282</v>
      </c>
      <c r="L176" s="1" t="s">
        <v>1283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31</v>
      </c>
    </row>
    <row r="177" spans="1:17" x14ac:dyDescent="0.2">
      <c r="A177" s="1">
        <v>205</v>
      </c>
      <c r="B177" s="1" t="s">
        <v>1284</v>
      </c>
      <c r="C177" s="1" t="s">
        <v>1285</v>
      </c>
      <c r="D177" s="1" t="s">
        <v>22</v>
      </c>
      <c r="E177" s="1" t="s">
        <v>23</v>
      </c>
      <c r="F177" s="1" t="s">
        <v>1286</v>
      </c>
      <c r="G177" s="1" t="s">
        <v>1071</v>
      </c>
      <c r="H177" s="1" t="s">
        <v>26</v>
      </c>
      <c r="I177" s="1" t="s">
        <v>1287</v>
      </c>
      <c r="J177" s="1" t="s">
        <v>1288</v>
      </c>
      <c r="K177" s="1" t="s">
        <v>1289</v>
      </c>
      <c r="L177" s="1" t="s">
        <v>1290</v>
      </c>
      <c r="M177" s="1" t="s">
        <v>31</v>
      </c>
      <c r="N177" s="1" t="s">
        <v>31</v>
      </c>
      <c r="O177" s="1" t="s">
        <v>31</v>
      </c>
      <c r="P177" s="1" t="s">
        <v>1291</v>
      </c>
      <c r="Q177" s="1" t="s">
        <v>31</v>
      </c>
    </row>
    <row r="178" spans="1:17" x14ac:dyDescent="0.2">
      <c r="A178" s="1">
        <v>206</v>
      </c>
      <c r="B178" s="1" t="s">
        <v>1292</v>
      </c>
      <c r="C178" s="1" t="s">
        <v>1293</v>
      </c>
      <c r="D178" s="1" t="s">
        <v>22</v>
      </c>
      <c r="E178" s="1" t="s">
        <v>23</v>
      </c>
      <c r="F178" s="1" t="s">
        <v>710</v>
      </c>
      <c r="G178" s="1" t="s">
        <v>53</v>
      </c>
      <c r="H178" s="1" t="s">
        <v>26</v>
      </c>
      <c r="I178" s="1" t="s">
        <v>1294</v>
      </c>
      <c r="J178" s="1" t="s">
        <v>1295</v>
      </c>
      <c r="K178" s="1" t="s">
        <v>1296</v>
      </c>
      <c r="L178" s="1" t="s">
        <v>1297</v>
      </c>
      <c r="M178" s="1" t="s">
        <v>31</v>
      </c>
      <c r="N178" s="1" t="s">
        <v>31</v>
      </c>
      <c r="O178" s="1" t="s">
        <v>31</v>
      </c>
      <c r="P178" s="1" t="s">
        <v>1298</v>
      </c>
      <c r="Q178" s="1" t="s">
        <v>31</v>
      </c>
    </row>
    <row r="179" spans="1:17" x14ac:dyDescent="0.2">
      <c r="A179" s="1">
        <v>207</v>
      </c>
      <c r="B179" s="1" t="s">
        <v>1299</v>
      </c>
      <c r="C179" s="1" t="s">
        <v>1300</v>
      </c>
      <c r="D179" s="1" t="s">
        <v>22</v>
      </c>
      <c r="E179" s="1" t="s">
        <v>23</v>
      </c>
      <c r="F179" s="1" t="s">
        <v>1301</v>
      </c>
      <c r="G179" s="1" t="s">
        <v>1200</v>
      </c>
      <c r="H179" s="1" t="s">
        <v>26</v>
      </c>
      <c r="I179" s="1" t="s">
        <v>1302</v>
      </c>
      <c r="J179" s="1" t="s">
        <v>31</v>
      </c>
      <c r="K179" s="1" t="s">
        <v>1303</v>
      </c>
      <c r="L179" s="1" t="s">
        <v>1304</v>
      </c>
      <c r="M179" s="1" t="s">
        <v>31</v>
      </c>
      <c r="N179" s="1" t="s">
        <v>31</v>
      </c>
      <c r="O179" s="1" t="s">
        <v>31</v>
      </c>
      <c r="P179" s="1" t="s">
        <v>31</v>
      </c>
      <c r="Q179" s="1" t="s">
        <v>31</v>
      </c>
    </row>
    <row r="180" spans="1:17" x14ac:dyDescent="0.2">
      <c r="A180" s="1">
        <v>208</v>
      </c>
      <c r="B180" s="1" t="s">
        <v>1682</v>
      </c>
      <c r="C180" s="1">
        <v>529</v>
      </c>
      <c r="D180" s="1" t="s">
        <v>22</v>
      </c>
      <c r="E180" s="1" t="s">
        <v>391</v>
      </c>
      <c r="F180" s="1" t="s">
        <v>1679</v>
      </c>
      <c r="G180" s="1" t="s">
        <v>87</v>
      </c>
      <c r="H180" s="1" t="s">
        <v>1065</v>
      </c>
      <c r="I180" s="1" t="s">
        <v>939</v>
      </c>
      <c r="J180" s="1" t="s">
        <v>940</v>
      </c>
      <c r="K180" s="1" t="s">
        <v>1680</v>
      </c>
      <c r="L180" s="1" t="s">
        <v>1681</v>
      </c>
    </row>
    <row r="181" spans="1:17" x14ac:dyDescent="0.2">
      <c r="A181" s="1">
        <v>209</v>
      </c>
      <c r="B181" s="1" t="s">
        <v>1305</v>
      </c>
      <c r="C181" s="1" t="s">
        <v>1306</v>
      </c>
      <c r="D181" s="1" t="s">
        <v>22</v>
      </c>
      <c r="E181" s="1" t="s">
        <v>23</v>
      </c>
      <c r="F181" s="1" t="s">
        <v>1307</v>
      </c>
      <c r="G181" s="1" t="s">
        <v>25</v>
      </c>
      <c r="H181" s="1" t="s">
        <v>26</v>
      </c>
      <c r="I181" s="1" t="s">
        <v>1308</v>
      </c>
      <c r="J181" s="1" t="s">
        <v>31</v>
      </c>
      <c r="K181" s="1" t="s">
        <v>1309</v>
      </c>
      <c r="L181" s="1" t="s">
        <v>1310</v>
      </c>
      <c r="M181" s="1" t="s">
        <v>31</v>
      </c>
      <c r="N181" s="1" t="s">
        <v>31</v>
      </c>
      <c r="O181" s="1" t="s">
        <v>31</v>
      </c>
      <c r="P181" s="1" t="s">
        <v>1311</v>
      </c>
      <c r="Q181" s="1" t="s">
        <v>31</v>
      </c>
    </row>
    <row r="182" spans="1:17" x14ac:dyDescent="0.2">
      <c r="A182" s="1">
        <v>210</v>
      </c>
      <c r="B182" s="1" t="s">
        <v>1312</v>
      </c>
      <c r="C182" s="1" t="s">
        <v>1313</v>
      </c>
      <c r="D182" s="1" t="s">
        <v>22</v>
      </c>
      <c r="E182" s="1" t="s">
        <v>23</v>
      </c>
      <c r="F182" s="1" t="s">
        <v>1314</v>
      </c>
      <c r="G182" s="1" t="s">
        <v>31</v>
      </c>
      <c r="H182" s="1" t="s">
        <v>31</v>
      </c>
      <c r="I182" s="1" t="s">
        <v>1315</v>
      </c>
      <c r="J182" s="1" t="s">
        <v>31</v>
      </c>
      <c r="K182" s="1" t="s">
        <v>1316</v>
      </c>
      <c r="L182" s="1" t="s">
        <v>1317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31</v>
      </c>
    </row>
    <row r="183" spans="1:17" x14ac:dyDescent="0.2">
      <c r="A183" s="1">
        <v>211</v>
      </c>
      <c r="B183" s="1" t="s">
        <v>1318</v>
      </c>
      <c r="C183" s="1" t="s">
        <v>1319</v>
      </c>
      <c r="D183" s="1" t="s">
        <v>22</v>
      </c>
      <c r="E183" s="1" t="s">
        <v>23</v>
      </c>
      <c r="F183" s="1" t="s">
        <v>1320</v>
      </c>
      <c r="G183" s="1" t="s">
        <v>1321</v>
      </c>
      <c r="H183" s="1" t="s">
        <v>489</v>
      </c>
      <c r="I183" s="1" t="s">
        <v>1322</v>
      </c>
      <c r="J183" s="1" t="s">
        <v>31</v>
      </c>
      <c r="K183" s="1" t="s">
        <v>1323</v>
      </c>
      <c r="L183" s="1" t="s">
        <v>1324</v>
      </c>
      <c r="M183" s="1" t="s">
        <v>31</v>
      </c>
      <c r="N183" s="1" t="s">
        <v>31</v>
      </c>
      <c r="O183" s="1" t="s">
        <v>31</v>
      </c>
      <c r="P183" s="1" t="s">
        <v>1325</v>
      </c>
      <c r="Q183" s="1" t="s">
        <v>31</v>
      </c>
    </row>
    <row r="184" spans="1:17" x14ac:dyDescent="0.2">
      <c r="A184" s="1">
        <v>212</v>
      </c>
      <c r="B184" s="1" t="s">
        <v>1326</v>
      </c>
      <c r="C184" s="1" t="s">
        <v>1327</v>
      </c>
      <c r="D184" s="1" t="s">
        <v>22</v>
      </c>
      <c r="E184" s="1" t="s">
        <v>23</v>
      </c>
      <c r="F184" s="1" t="s">
        <v>1328</v>
      </c>
      <c r="G184" s="1" t="s">
        <v>1329</v>
      </c>
      <c r="H184" s="1" t="s">
        <v>26</v>
      </c>
      <c r="I184" s="1" t="s">
        <v>1330</v>
      </c>
      <c r="J184" s="1" t="s">
        <v>1331</v>
      </c>
      <c r="K184" s="1" t="s">
        <v>1332</v>
      </c>
      <c r="L184" s="1" t="s">
        <v>1333</v>
      </c>
      <c r="M184" s="1" t="s">
        <v>31</v>
      </c>
      <c r="N184" s="1" t="s">
        <v>31</v>
      </c>
      <c r="O184" s="1" t="s">
        <v>31</v>
      </c>
      <c r="P184" s="1" t="s">
        <v>1334</v>
      </c>
      <c r="Q184" s="1" t="s">
        <v>31</v>
      </c>
    </row>
    <row r="185" spans="1:17" x14ac:dyDescent="0.2">
      <c r="A185" s="1">
        <v>213</v>
      </c>
      <c r="B185" s="1" t="s">
        <v>1335</v>
      </c>
      <c r="C185" s="1" t="s">
        <v>1336</v>
      </c>
      <c r="D185" s="1" t="s">
        <v>22</v>
      </c>
      <c r="E185" s="1" t="s">
        <v>23</v>
      </c>
      <c r="F185" s="1" t="s">
        <v>1337</v>
      </c>
      <c r="G185" s="1" t="s">
        <v>1338</v>
      </c>
      <c r="H185" s="1" t="s">
        <v>394</v>
      </c>
      <c r="I185" s="1" t="s">
        <v>1339</v>
      </c>
      <c r="J185" s="1" t="s">
        <v>1340</v>
      </c>
      <c r="K185" s="1" t="s">
        <v>1341</v>
      </c>
      <c r="L185" s="1" t="s">
        <v>1342</v>
      </c>
      <c r="M185" s="1" t="s">
        <v>31</v>
      </c>
      <c r="N185" s="1" t="s">
        <v>31</v>
      </c>
      <c r="O185" s="1" t="s">
        <v>31</v>
      </c>
      <c r="P185" s="1" t="s">
        <v>31</v>
      </c>
      <c r="Q185" s="1" t="s">
        <v>31</v>
      </c>
    </row>
    <row r="186" spans="1:17" x14ac:dyDescent="0.2">
      <c r="A186" s="1">
        <v>214</v>
      </c>
      <c r="B186" s="1" t="s">
        <v>1343</v>
      </c>
      <c r="C186" s="1" t="s">
        <v>1344</v>
      </c>
      <c r="D186" s="1" t="s">
        <v>22</v>
      </c>
      <c r="E186" s="1" t="s">
        <v>23</v>
      </c>
      <c r="F186" s="1" t="s">
        <v>1345</v>
      </c>
      <c r="G186" s="1" t="s">
        <v>316</v>
      </c>
      <c r="H186" s="1" t="s">
        <v>87</v>
      </c>
      <c r="I186" s="1" t="s">
        <v>1346</v>
      </c>
      <c r="J186" s="1" t="s">
        <v>1347</v>
      </c>
      <c r="K186" s="1" t="s">
        <v>1348</v>
      </c>
      <c r="L186" s="1" t="s">
        <v>1349</v>
      </c>
      <c r="M186" s="1" t="s">
        <v>31</v>
      </c>
      <c r="N186" s="1" t="s">
        <v>31</v>
      </c>
      <c r="O186" s="1" t="s">
        <v>31</v>
      </c>
      <c r="P186" s="1" t="s">
        <v>31</v>
      </c>
      <c r="Q186" s="1" t="s">
        <v>31</v>
      </c>
    </row>
    <row r="187" spans="1:17" x14ac:dyDescent="0.2">
      <c r="A187" s="1">
        <v>215</v>
      </c>
      <c r="B187" s="1" t="s">
        <v>1350</v>
      </c>
      <c r="C187" s="1" t="s">
        <v>1351</v>
      </c>
      <c r="D187" s="1" t="s">
        <v>22</v>
      </c>
      <c r="E187" s="1" t="s">
        <v>23</v>
      </c>
      <c r="F187" s="1" t="s">
        <v>1352</v>
      </c>
      <c r="G187" s="1" t="s">
        <v>128</v>
      </c>
      <c r="H187" s="1" t="s">
        <v>26</v>
      </c>
      <c r="I187" s="1" t="s">
        <v>1353</v>
      </c>
      <c r="J187" s="1" t="s">
        <v>1354</v>
      </c>
      <c r="K187" s="1" t="s">
        <v>1355</v>
      </c>
      <c r="L187" s="1" t="s">
        <v>1356</v>
      </c>
      <c r="M187" s="1" t="s">
        <v>31</v>
      </c>
      <c r="N187" s="1" t="s">
        <v>31</v>
      </c>
      <c r="O187" s="1" t="s">
        <v>31</v>
      </c>
      <c r="P187" s="1" t="s">
        <v>1357</v>
      </c>
      <c r="Q187" s="1" t="s">
        <v>31</v>
      </c>
    </row>
    <row r="188" spans="1:17" x14ac:dyDescent="0.2">
      <c r="A188" s="1">
        <v>216</v>
      </c>
      <c r="B188" s="1" t="s">
        <v>1358</v>
      </c>
      <c r="C188" s="1" t="s">
        <v>1359</v>
      </c>
      <c r="D188" s="1" t="s">
        <v>22</v>
      </c>
      <c r="E188" s="1" t="s">
        <v>23</v>
      </c>
      <c r="F188" s="1" t="s">
        <v>1360</v>
      </c>
      <c r="G188" s="1" t="s">
        <v>176</v>
      </c>
      <c r="H188" s="1" t="s">
        <v>1361</v>
      </c>
      <c r="I188" s="1" t="s">
        <v>1362</v>
      </c>
      <c r="J188" s="1" t="s">
        <v>1363</v>
      </c>
      <c r="K188" s="1" t="s">
        <v>1364</v>
      </c>
      <c r="L188" s="1" t="s">
        <v>1365</v>
      </c>
      <c r="M188" s="1" t="s">
        <v>31</v>
      </c>
      <c r="N188" s="1" t="s">
        <v>31</v>
      </c>
      <c r="O188" s="1" t="s">
        <v>31</v>
      </c>
      <c r="P188" s="1" t="s">
        <v>1366</v>
      </c>
      <c r="Q188" s="1" t="s">
        <v>31</v>
      </c>
    </row>
    <row r="189" spans="1:17" x14ac:dyDescent="0.2">
      <c r="A189" s="1">
        <v>218</v>
      </c>
      <c r="B189" s="1" t="s">
        <v>1367</v>
      </c>
      <c r="C189" s="1" t="s">
        <v>1368</v>
      </c>
      <c r="D189" s="1" t="s">
        <v>22</v>
      </c>
      <c r="E189" s="1" t="s">
        <v>23</v>
      </c>
      <c r="F189" s="1" t="s">
        <v>1369</v>
      </c>
      <c r="G189" s="1" t="s">
        <v>61</v>
      </c>
      <c r="H189" s="1" t="s">
        <v>26</v>
      </c>
      <c r="I189" s="1" t="s">
        <v>1370</v>
      </c>
      <c r="J189" s="1" t="s">
        <v>31</v>
      </c>
      <c r="K189" s="1" t="s">
        <v>1371</v>
      </c>
      <c r="L189" s="1" t="s">
        <v>1372</v>
      </c>
      <c r="M189" s="1" t="s">
        <v>31</v>
      </c>
      <c r="N189" s="1" t="s">
        <v>31</v>
      </c>
      <c r="O189" s="1" t="s">
        <v>31</v>
      </c>
      <c r="P189" s="1" t="s">
        <v>1373</v>
      </c>
      <c r="Q189" s="1" t="s">
        <v>31</v>
      </c>
    </row>
    <row r="190" spans="1:17" x14ac:dyDescent="0.2">
      <c r="A190" s="1">
        <v>219</v>
      </c>
      <c r="B190" s="1" t="s">
        <v>1374</v>
      </c>
      <c r="C190" s="1" t="s">
        <v>1375</v>
      </c>
      <c r="D190" s="1" t="s">
        <v>35</v>
      </c>
      <c r="E190" s="1" t="s">
        <v>23</v>
      </c>
      <c r="F190" s="1" t="s">
        <v>1376</v>
      </c>
      <c r="G190" s="1" t="s">
        <v>1377</v>
      </c>
      <c r="H190" s="1" t="s">
        <v>339</v>
      </c>
      <c r="I190" s="1" t="s">
        <v>1378</v>
      </c>
      <c r="J190" s="1" t="s">
        <v>31</v>
      </c>
      <c r="K190" s="1" t="s">
        <v>1379</v>
      </c>
      <c r="L190" s="1" t="s">
        <v>1380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31</v>
      </c>
    </row>
    <row r="191" spans="1:17" x14ac:dyDescent="0.2">
      <c r="A191" s="1">
        <v>220</v>
      </c>
      <c r="B191" s="1" t="s">
        <v>1381</v>
      </c>
      <c r="C191" s="1" t="s">
        <v>1382</v>
      </c>
      <c r="D191" s="1" t="s">
        <v>22</v>
      </c>
      <c r="E191" s="1" t="s">
        <v>23</v>
      </c>
      <c r="F191" s="1" t="s">
        <v>1383</v>
      </c>
      <c r="G191" s="1" t="s">
        <v>582</v>
      </c>
      <c r="H191" s="1" t="s">
        <v>26</v>
      </c>
      <c r="I191" s="1" t="s">
        <v>1384</v>
      </c>
      <c r="J191" s="1" t="s">
        <v>31</v>
      </c>
      <c r="K191" s="1" t="s">
        <v>1385</v>
      </c>
      <c r="L191" s="1" t="s">
        <v>1386</v>
      </c>
      <c r="M191" s="1" t="s">
        <v>31</v>
      </c>
      <c r="N191" s="1" t="s">
        <v>31</v>
      </c>
      <c r="O191" s="1" t="s">
        <v>31</v>
      </c>
      <c r="P191" s="1" t="s">
        <v>1387</v>
      </c>
      <c r="Q191" s="1" t="s">
        <v>31</v>
      </c>
    </row>
    <row r="192" spans="1:17" s="30" customFormat="1" x14ac:dyDescent="0.2">
      <c r="A192" s="30">
        <v>221</v>
      </c>
      <c r="B192" s="30" t="s">
        <v>1671</v>
      </c>
      <c r="C192" s="30" t="s">
        <v>1670</v>
      </c>
      <c r="D192" s="30" t="s">
        <v>22</v>
      </c>
      <c r="E192" s="30" t="s">
        <v>23</v>
      </c>
      <c r="F192" s="30" t="s">
        <v>1669</v>
      </c>
      <c r="G192" s="30" t="s">
        <v>1668</v>
      </c>
      <c r="H192" s="30" t="s">
        <v>87</v>
      </c>
      <c r="I192" s="30" t="s">
        <v>1667</v>
      </c>
      <c r="J192" s="30" t="s">
        <v>1666</v>
      </c>
      <c r="K192" s="30" t="s">
        <v>1665</v>
      </c>
      <c r="L192" s="30" t="s">
        <v>1664</v>
      </c>
      <c r="M192" s="30" t="s">
        <v>31</v>
      </c>
      <c r="N192" s="30" t="s">
        <v>31</v>
      </c>
      <c r="O192" s="30" t="s">
        <v>31</v>
      </c>
      <c r="P192" s="30" t="s">
        <v>31</v>
      </c>
      <c r="Q192" s="30" t="s">
        <v>31</v>
      </c>
    </row>
    <row r="193" spans="1:17" x14ac:dyDescent="0.2">
      <c r="A193" s="1">
        <v>223</v>
      </c>
      <c r="B193" s="1" t="s">
        <v>1388</v>
      </c>
      <c r="C193" s="1" t="s">
        <v>1389</v>
      </c>
      <c r="D193" s="1" t="s">
        <v>22</v>
      </c>
      <c r="E193" s="1" t="s">
        <v>23</v>
      </c>
      <c r="F193" s="1" t="s">
        <v>1390</v>
      </c>
      <c r="G193" s="1" t="s">
        <v>78</v>
      </c>
      <c r="H193" s="1" t="s">
        <v>26</v>
      </c>
      <c r="I193" s="1" t="s">
        <v>1391</v>
      </c>
      <c r="J193" s="1" t="s">
        <v>31</v>
      </c>
      <c r="K193" s="1" t="s">
        <v>1392</v>
      </c>
      <c r="L193" s="1" t="s">
        <v>1393</v>
      </c>
      <c r="M193" s="1" t="s">
        <v>31</v>
      </c>
      <c r="N193" s="1" t="s">
        <v>31</v>
      </c>
      <c r="O193" s="1" t="s">
        <v>31</v>
      </c>
      <c r="P193" s="1" t="s">
        <v>1394</v>
      </c>
      <c r="Q193" s="1" t="s">
        <v>31</v>
      </c>
    </row>
    <row r="194" spans="1:17" x14ac:dyDescent="0.2">
      <c r="A194" s="1">
        <v>224</v>
      </c>
      <c r="B194" s="1" t="s">
        <v>1395</v>
      </c>
      <c r="C194" s="1" t="s">
        <v>1396</v>
      </c>
      <c r="D194" s="1" t="s">
        <v>35</v>
      </c>
      <c r="E194" s="1" t="s">
        <v>23</v>
      </c>
      <c r="F194" s="1" t="s">
        <v>1397</v>
      </c>
      <c r="G194" s="1" t="s">
        <v>1398</v>
      </c>
      <c r="H194" s="1" t="s">
        <v>339</v>
      </c>
      <c r="I194" s="1" t="s">
        <v>1399</v>
      </c>
      <c r="J194" s="1" t="s">
        <v>31</v>
      </c>
      <c r="K194" s="1" t="s">
        <v>1400</v>
      </c>
      <c r="L194" s="1" t="s">
        <v>1401</v>
      </c>
      <c r="M194" s="1" t="s">
        <v>31</v>
      </c>
      <c r="N194" s="1" t="s">
        <v>31</v>
      </c>
      <c r="O194" s="1" t="s">
        <v>31</v>
      </c>
      <c r="P194" s="1" t="s">
        <v>31</v>
      </c>
      <c r="Q194" s="1" t="s">
        <v>31</v>
      </c>
    </row>
    <row r="195" spans="1:17" x14ac:dyDescent="0.2">
      <c r="A195" s="1">
        <v>225</v>
      </c>
      <c r="B195" s="1" t="s">
        <v>1402</v>
      </c>
      <c r="C195" s="1" t="s">
        <v>1403</v>
      </c>
      <c r="D195" s="1" t="s">
        <v>22</v>
      </c>
      <c r="E195" s="1" t="s">
        <v>23</v>
      </c>
      <c r="F195" s="1" t="s">
        <v>1404</v>
      </c>
      <c r="G195" s="1" t="s">
        <v>253</v>
      </c>
      <c r="H195" s="1" t="s">
        <v>26</v>
      </c>
      <c r="I195" s="1" t="s">
        <v>1405</v>
      </c>
      <c r="J195" s="1" t="s">
        <v>31</v>
      </c>
      <c r="K195" s="1" t="s">
        <v>1406</v>
      </c>
      <c r="L195" s="1" t="s">
        <v>1407</v>
      </c>
      <c r="M195" s="1" t="s">
        <v>31</v>
      </c>
      <c r="N195" s="1" t="s">
        <v>31</v>
      </c>
      <c r="O195" s="1" t="s">
        <v>31</v>
      </c>
      <c r="P195" s="1" t="s">
        <v>1408</v>
      </c>
      <c r="Q195" s="1" t="s">
        <v>31</v>
      </c>
    </row>
    <row r="196" spans="1:17" x14ac:dyDescent="0.2">
      <c r="A196" s="1">
        <v>228</v>
      </c>
      <c r="B196" s="1" t="s">
        <v>1409</v>
      </c>
      <c r="C196" s="1" t="s">
        <v>1410</v>
      </c>
      <c r="D196" s="1" t="s">
        <v>35</v>
      </c>
      <c r="E196" s="1" t="s">
        <v>23</v>
      </c>
      <c r="F196" s="1" t="s">
        <v>1411</v>
      </c>
      <c r="G196" s="1" t="s">
        <v>1412</v>
      </c>
      <c r="H196" s="1" t="s">
        <v>87</v>
      </c>
      <c r="I196" s="1" t="s">
        <v>1413</v>
      </c>
      <c r="J196" s="1" t="s">
        <v>31</v>
      </c>
      <c r="K196" s="1" t="s">
        <v>1414</v>
      </c>
      <c r="L196" s="1" t="s">
        <v>1415</v>
      </c>
      <c r="M196" s="1" t="s">
        <v>31</v>
      </c>
      <c r="N196" s="1" t="s">
        <v>31</v>
      </c>
      <c r="O196" s="1" t="s">
        <v>31</v>
      </c>
      <c r="P196" s="1" t="s">
        <v>31</v>
      </c>
      <c r="Q196" s="1" t="s">
        <v>31</v>
      </c>
    </row>
    <row r="197" spans="1:17" x14ac:dyDescent="0.2">
      <c r="A197" s="1">
        <v>229</v>
      </c>
      <c r="B197" s="1" t="s">
        <v>1416</v>
      </c>
      <c r="C197" s="1" t="s">
        <v>1417</v>
      </c>
      <c r="D197" s="1" t="s">
        <v>35</v>
      </c>
      <c r="E197" s="1" t="s">
        <v>23</v>
      </c>
      <c r="F197" s="1" t="s">
        <v>1418</v>
      </c>
      <c r="G197" s="1" t="s">
        <v>31</v>
      </c>
      <c r="H197" s="1" t="s">
        <v>87</v>
      </c>
      <c r="I197" s="1" t="s">
        <v>1419</v>
      </c>
      <c r="J197" s="1" t="s">
        <v>1419</v>
      </c>
      <c r="K197" s="1" t="s">
        <v>1420</v>
      </c>
      <c r="L197" s="1" t="s">
        <v>1421</v>
      </c>
      <c r="M197" s="1" t="s">
        <v>31</v>
      </c>
      <c r="N197" s="1" t="s">
        <v>31</v>
      </c>
      <c r="O197" s="1" t="s">
        <v>31</v>
      </c>
      <c r="P197" s="1" t="s">
        <v>31</v>
      </c>
      <c r="Q197" s="1" t="s">
        <v>31</v>
      </c>
    </row>
    <row r="198" spans="1:17" x14ac:dyDescent="0.2">
      <c r="A198" s="1">
        <v>231</v>
      </c>
      <c r="B198" s="1" t="s">
        <v>1422</v>
      </c>
      <c r="C198" s="1" t="s">
        <v>1423</v>
      </c>
      <c r="D198" s="1" t="s">
        <v>22</v>
      </c>
      <c r="E198" s="1" t="s">
        <v>23</v>
      </c>
      <c r="F198" s="1" t="s">
        <v>1424</v>
      </c>
      <c r="G198" s="1" t="s">
        <v>31</v>
      </c>
      <c r="H198" s="1" t="s">
        <v>394</v>
      </c>
      <c r="I198" s="1" t="s">
        <v>1425</v>
      </c>
      <c r="J198" s="1" t="s">
        <v>1426</v>
      </c>
      <c r="K198" s="1" t="s">
        <v>1427</v>
      </c>
      <c r="L198" s="1" t="s">
        <v>1428</v>
      </c>
      <c r="M198" s="1" t="s">
        <v>31</v>
      </c>
      <c r="N198" s="1" t="s">
        <v>31</v>
      </c>
      <c r="O198" s="1" t="s">
        <v>31</v>
      </c>
      <c r="P198" s="1" t="s">
        <v>31</v>
      </c>
      <c r="Q198" s="1" t="s">
        <v>31</v>
      </c>
    </row>
    <row r="199" spans="1:17" x14ac:dyDescent="0.2">
      <c r="A199" s="1">
        <v>232</v>
      </c>
      <c r="B199" s="1" t="s">
        <v>1429</v>
      </c>
      <c r="C199" s="1" t="s">
        <v>1430</v>
      </c>
      <c r="D199" s="1" t="s">
        <v>22</v>
      </c>
      <c r="E199" s="1" t="s">
        <v>23</v>
      </c>
      <c r="F199" s="1" t="s">
        <v>1431</v>
      </c>
      <c r="G199" s="1" t="s">
        <v>1432</v>
      </c>
      <c r="H199" s="1" t="s">
        <v>1433</v>
      </c>
      <c r="I199" s="1" t="s">
        <v>1434</v>
      </c>
      <c r="J199" s="1" t="s">
        <v>1434</v>
      </c>
      <c r="K199" s="1" t="s">
        <v>1435</v>
      </c>
      <c r="L199" s="1" t="s">
        <v>1436</v>
      </c>
      <c r="M199" s="1" t="s">
        <v>31</v>
      </c>
      <c r="N199" s="1" t="s">
        <v>31</v>
      </c>
      <c r="O199" s="1" t="s">
        <v>31</v>
      </c>
      <c r="P199" s="1" t="s">
        <v>31</v>
      </c>
      <c r="Q199" s="1" t="s">
        <v>31</v>
      </c>
    </row>
    <row r="200" spans="1:17" x14ac:dyDescent="0.2">
      <c r="A200" s="1">
        <v>233</v>
      </c>
      <c r="B200" s="30" t="s">
        <v>1707</v>
      </c>
      <c r="C200" s="1">
        <v>578</v>
      </c>
      <c r="D200" s="30" t="s">
        <v>22</v>
      </c>
      <c r="E200" s="30" t="s">
        <v>23</v>
      </c>
      <c r="F200" s="30" t="s">
        <v>1708</v>
      </c>
      <c r="G200" s="30" t="s">
        <v>31</v>
      </c>
      <c r="H200" s="30" t="s">
        <v>87</v>
      </c>
      <c r="I200" s="30" t="s">
        <v>1709</v>
      </c>
      <c r="J200" s="30" t="s">
        <v>1709</v>
      </c>
      <c r="K200" s="30" t="s">
        <v>1710</v>
      </c>
      <c r="L200" s="30" t="s">
        <v>1711</v>
      </c>
      <c r="M200" s="30" t="s">
        <v>31</v>
      </c>
    </row>
    <row r="201" spans="1:17" x14ac:dyDescent="0.2">
      <c r="A201" s="1">
        <v>234</v>
      </c>
      <c r="B201" s="1" t="s">
        <v>1437</v>
      </c>
      <c r="C201" s="1" t="s">
        <v>1438</v>
      </c>
      <c r="D201" s="1" t="s">
        <v>22</v>
      </c>
      <c r="E201" s="1" t="s">
        <v>23</v>
      </c>
      <c r="F201" s="1" t="s">
        <v>1439</v>
      </c>
      <c r="G201" s="1" t="s">
        <v>711</v>
      </c>
      <c r="H201" s="1" t="s">
        <v>26</v>
      </c>
      <c r="I201" s="1" t="s">
        <v>1440</v>
      </c>
      <c r="J201" s="1" t="s">
        <v>31</v>
      </c>
      <c r="K201" s="1" t="s">
        <v>1441</v>
      </c>
      <c r="L201" s="1" t="s">
        <v>1442</v>
      </c>
      <c r="M201" s="1" t="s">
        <v>31</v>
      </c>
      <c r="N201" s="1" t="s">
        <v>31</v>
      </c>
      <c r="O201" s="1" t="s">
        <v>31</v>
      </c>
      <c r="P201" s="1" t="s">
        <v>1443</v>
      </c>
      <c r="Q201" s="1" t="s">
        <v>31</v>
      </c>
    </row>
    <row r="202" spans="1:17" x14ac:dyDescent="0.2">
      <c r="A202" s="1">
        <v>237</v>
      </c>
      <c r="B202" s="1" t="s">
        <v>1444</v>
      </c>
      <c r="C202" s="1" t="s">
        <v>1445</v>
      </c>
      <c r="D202" s="1" t="s">
        <v>22</v>
      </c>
      <c r="E202" s="1" t="s">
        <v>23</v>
      </c>
      <c r="F202" s="1" t="s">
        <v>1446</v>
      </c>
      <c r="G202" s="1" t="s">
        <v>393</v>
      </c>
      <c r="H202" s="1" t="s">
        <v>394</v>
      </c>
      <c r="I202" s="1" t="s">
        <v>1447</v>
      </c>
      <c r="J202" s="1" t="s">
        <v>1447</v>
      </c>
      <c r="K202" s="1" t="s">
        <v>1448</v>
      </c>
      <c r="L202" s="1" t="s">
        <v>1449</v>
      </c>
      <c r="M202" s="1" t="s">
        <v>31</v>
      </c>
      <c r="N202" s="1" t="s">
        <v>31</v>
      </c>
      <c r="O202" s="1" t="s">
        <v>31</v>
      </c>
      <c r="P202" s="1" t="s">
        <v>31</v>
      </c>
      <c r="Q202" s="1" t="s">
        <v>31</v>
      </c>
    </row>
    <row r="203" spans="1:17" x14ac:dyDescent="0.2">
      <c r="A203" s="1">
        <v>238</v>
      </c>
      <c r="B203" s="1" t="s">
        <v>1450</v>
      </c>
      <c r="C203" s="1" t="s">
        <v>1451</v>
      </c>
      <c r="D203" s="1" t="s">
        <v>22</v>
      </c>
      <c r="E203" s="1" t="s">
        <v>23</v>
      </c>
      <c r="F203" s="1" t="s">
        <v>1452</v>
      </c>
      <c r="G203" s="1" t="s">
        <v>742</v>
      </c>
      <c r="H203" s="1" t="s">
        <v>26</v>
      </c>
      <c r="I203" s="1" t="s">
        <v>1453</v>
      </c>
      <c r="J203" s="1" t="s">
        <v>31</v>
      </c>
      <c r="K203" s="1" t="s">
        <v>1454</v>
      </c>
      <c r="L203" s="1" t="s">
        <v>1455</v>
      </c>
      <c r="M203" s="1" t="s">
        <v>31</v>
      </c>
      <c r="N203" s="1" t="s">
        <v>31</v>
      </c>
      <c r="O203" s="1" t="s">
        <v>31</v>
      </c>
      <c r="P203" s="1" t="s">
        <v>1456</v>
      </c>
      <c r="Q203" s="1" t="s">
        <v>31</v>
      </c>
    </row>
    <row r="204" spans="1:17" x14ac:dyDescent="0.2">
      <c r="A204" s="1">
        <v>239</v>
      </c>
      <c r="B204" s="1" t="s">
        <v>1457</v>
      </c>
      <c r="C204" s="1" t="s">
        <v>1458</v>
      </c>
      <c r="D204" s="1" t="s">
        <v>22</v>
      </c>
      <c r="E204" s="1" t="s">
        <v>23</v>
      </c>
      <c r="F204" s="1" t="s">
        <v>1459</v>
      </c>
      <c r="G204" s="1" t="s">
        <v>31</v>
      </c>
      <c r="H204" s="1" t="s">
        <v>87</v>
      </c>
      <c r="I204" s="1" t="s">
        <v>1460</v>
      </c>
      <c r="J204" s="1" t="s">
        <v>1460</v>
      </c>
      <c r="K204" s="1" t="s">
        <v>1461</v>
      </c>
      <c r="L204" s="1" t="s">
        <v>1462</v>
      </c>
      <c r="M204" s="1" t="s">
        <v>31</v>
      </c>
      <c r="N204" s="1" t="s">
        <v>31</v>
      </c>
      <c r="O204" s="1" t="s">
        <v>31</v>
      </c>
      <c r="P204" s="1" t="s">
        <v>31</v>
      </c>
      <c r="Q204" s="1" t="s">
        <v>31</v>
      </c>
    </row>
    <row r="205" spans="1:17" x14ac:dyDescent="0.2">
      <c r="A205" s="1">
        <v>240</v>
      </c>
      <c r="B205" s="1" t="s">
        <v>1463</v>
      </c>
      <c r="C205" s="1" t="s">
        <v>1464</v>
      </c>
      <c r="D205" s="1" t="s">
        <v>35</v>
      </c>
      <c r="E205" s="1" t="s">
        <v>23</v>
      </c>
      <c r="F205" s="1" t="s">
        <v>1465</v>
      </c>
      <c r="G205" s="1" t="s">
        <v>1377</v>
      </c>
      <c r="H205" s="1" t="s">
        <v>26</v>
      </c>
      <c r="I205" s="1" t="s">
        <v>1466</v>
      </c>
      <c r="J205" s="1" t="s">
        <v>1467</v>
      </c>
      <c r="K205" s="1" t="s">
        <v>1468</v>
      </c>
      <c r="L205" s="1" t="s">
        <v>1469</v>
      </c>
      <c r="M205" s="1" t="s">
        <v>31</v>
      </c>
      <c r="N205" s="1" t="s">
        <v>31</v>
      </c>
      <c r="O205" s="1" t="s">
        <v>31</v>
      </c>
      <c r="P205" s="1" t="s">
        <v>1470</v>
      </c>
      <c r="Q205" s="1" t="s">
        <v>31</v>
      </c>
    </row>
    <row r="206" spans="1:17" x14ac:dyDescent="0.2">
      <c r="A206" s="1">
        <v>241</v>
      </c>
      <c r="B206" s="1" t="s">
        <v>1471</v>
      </c>
      <c r="C206" s="1" t="s">
        <v>1472</v>
      </c>
      <c r="D206" s="1" t="s">
        <v>22</v>
      </c>
      <c r="E206" s="1" t="s">
        <v>23</v>
      </c>
      <c r="F206" s="1" t="s">
        <v>1473</v>
      </c>
      <c r="G206" s="1" t="s">
        <v>176</v>
      </c>
      <c r="H206" s="1" t="s">
        <v>26</v>
      </c>
      <c r="I206" s="1" t="s">
        <v>1474</v>
      </c>
      <c r="J206" s="1" t="s">
        <v>1475</v>
      </c>
      <c r="K206" s="1" t="s">
        <v>1476</v>
      </c>
      <c r="L206" s="1" t="s">
        <v>1477</v>
      </c>
      <c r="M206" s="1" t="s">
        <v>31</v>
      </c>
      <c r="N206" s="1" t="s">
        <v>1478</v>
      </c>
      <c r="O206" s="1" t="s">
        <v>31</v>
      </c>
      <c r="P206" s="1" t="s">
        <v>1479</v>
      </c>
      <c r="Q206" s="1" t="s">
        <v>31</v>
      </c>
    </row>
    <row r="207" spans="1:17" x14ac:dyDescent="0.2">
      <c r="A207" s="1">
        <v>242</v>
      </c>
      <c r="B207" s="1" t="s">
        <v>1480</v>
      </c>
      <c r="C207" s="1" t="s">
        <v>1481</v>
      </c>
      <c r="D207" s="1" t="s">
        <v>22</v>
      </c>
      <c r="E207" s="1" t="s">
        <v>23</v>
      </c>
      <c r="F207" s="1" t="s">
        <v>1482</v>
      </c>
      <c r="G207" s="1" t="s">
        <v>1483</v>
      </c>
      <c r="H207" s="1" t="s">
        <v>26</v>
      </c>
      <c r="I207" s="1" t="s">
        <v>1484</v>
      </c>
      <c r="J207" s="1" t="s">
        <v>1484</v>
      </c>
      <c r="K207" s="1" t="s">
        <v>1485</v>
      </c>
      <c r="L207" s="1" t="s">
        <v>1486</v>
      </c>
      <c r="M207" s="1" t="s">
        <v>31</v>
      </c>
      <c r="N207" s="1" t="s">
        <v>31</v>
      </c>
      <c r="O207" s="1" t="s">
        <v>31</v>
      </c>
      <c r="P207" s="1" t="s">
        <v>1487</v>
      </c>
      <c r="Q207" s="1" t="s">
        <v>31</v>
      </c>
    </row>
    <row r="208" spans="1:17" x14ac:dyDescent="0.2">
      <c r="A208" s="1">
        <v>243</v>
      </c>
      <c r="B208" s="1" t="s">
        <v>1488</v>
      </c>
      <c r="C208" s="1" t="s">
        <v>1489</v>
      </c>
      <c r="D208" s="1" t="s">
        <v>35</v>
      </c>
      <c r="E208" s="1" t="s">
        <v>23</v>
      </c>
      <c r="F208" s="1" t="s">
        <v>1490</v>
      </c>
      <c r="G208" s="1" t="s">
        <v>1491</v>
      </c>
      <c r="H208" s="1" t="s">
        <v>339</v>
      </c>
      <c r="I208" s="1" t="s">
        <v>1492</v>
      </c>
      <c r="J208" s="1" t="s">
        <v>31</v>
      </c>
      <c r="K208" s="1" t="s">
        <v>1493</v>
      </c>
      <c r="L208" s="1" t="s">
        <v>1494</v>
      </c>
      <c r="M208" s="1" t="s">
        <v>31</v>
      </c>
      <c r="N208" s="1" t="s">
        <v>31</v>
      </c>
      <c r="O208" s="1" t="s">
        <v>31</v>
      </c>
      <c r="P208" s="1" t="s">
        <v>31</v>
      </c>
      <c r="Q208" s="1" t="s">
        <v>31</v>
      </c>
    </row>
    <row r="209" spans="1:17" x14ac:dyDescent="0.2">
      <c r="A209" s="1">
        <v>244</v>
      </c>
      <c r="B209" s="1" t="s">
        <v>1495</v>
      </c>
      <c r="C209" s="1" t="s">
        <v>1496</v>
      </c>
      <c r="D209" s="1" t="s">
        <v>35</v>
      </c>
      <c r="E209" s="1" t="s">
        <v>23</v>
      </c>
      <c r="F209" s="1" t="s">
        <v>1497</v>
      </c>
      <c r="G209" s="1" t="s">
        <v>1498</v>
      </c>
      <c r="H209" s="1" t="s">
        <v>26</v>
      </c>
      <c r="I209" s="1" t="s">
        <v>1499</v>
      </c>
      <c r="J209" s="1" t="s">
        <v>31</v>
      </c>
      <c r="K209" s="1" t="s">
        <v>1500</v>
      </c>
      <c r="L209" s="1" t="s">
        <v>1501</v>
      </c>
      <c r="M209" s="1" t="s">
        <v>31</v>
      </c>
      <c r="N209" s="1" t="s">
        <v>31</v>
      </c>
      <c r="O209" s="1" t="s">
        <v>31</v>
      </c>
      <c r="P209" s="1" t="s">
        <v>1502</v>
      </c>
      <c r="Q209" s="1" t="s">
        <v>31</v>
      </c>
    </row>
    <row r="210" spans="1:17" x14ac:dyDescent="0.2">
      <c r="A210" s="1">
        <v>245</v>
      </c>
      <c r="B210" s="1" t="s">
        <v>1503</v>
      </c>
      <c r="C210" s="1" t="s">
        <v>1504</v>
      </c>
      <c r="D210" s="1" t="s">
        <v>22</v>
      </c>
      <c r="E210" s="1" t="s">
        <v>23</v>
      </c>
      <c r="F210" s="1" t="s">
        <v>1505</v>
      </c>
      <c r="G210" s="1" t="s">
        <v>1506</v>
      </c>
      <c r="H210" s="1" t="s">
        <v>26</v>
      </c>
      <c r="I210" s="1" t="s">
        <v>1507</v>
      </c>
      <c r="J210" s="1" t="s">
        <v>1508</v>
      </c>
      <c r="K210" s="1" t="s">
        <v>1509</v>
      </c>
      <c r="L210" s="1" t="s">
        <v>1510</v>
      </c>
      <c r="M210" s="1" t="s">
        <v>31</v>
      </c>
      <c r="N210" s="1" t="s">
        <v>31</v>
      </c>
      <c r="O210" s="1" t="s">
        <v>31</v>
      </c>
      <c r="P210" s="1" t="s">
        <v>1511</v>
      </c>
      <c r="Q210" s="1" t="s">
        <v>31</v>
      </c>
    </row>
    <row r="211" spans="1:17" x14ac:dyDescent="0.2">
      <c r="A211" s="1">
        <v>246</v>
      </c>
      <c r="B211" s="1" t="s">
        <v>1512</v>
      </c>
      <c r="C211" s="1" t="s">
        <v>1513</v>
      </c>
      <c r="D211" s="1" t="s">
        <v>35</v>
      </c>
      <c r="E211" s="1" t="s">
        <v>23</v>
      </c>
      <c r="F211" s="1" t="s">
        <v>1514</v>
      </c>
      <c r="G211" s="1" t="s">
        <v>1515</v>
      </c>
      <c r="H211" s="1" t="s">
        <v>1516</v>
      </c>
      <c r="I211" s="1" t="s">
        <v>1517</v>
      </c>
      <c r="J211" s="1" t="s">
        <v>1517</v>
      </c>
      <c r="K211" s="1" t="s">
        <v>1518</v>
      </c>
      <c r="L211" s="1" t="s">
        <v>1519</v>
      </c>
      <c r="M211" s="1" t="s">
        <v>31</v>
      </c>
      <c r="N211" s="1" t="s">
        <v>31</v>
      </c>
      <c r="O211" s="1" t="s">
        <v>31</v>
      </c>
      <c r="P211" s="1" t="s">
        <v>31</v>
      </c>
      <c r="Q211" s="1" t="s">
        <v>31</v>
      </c>
    </row>
    <row r="212" spans="1:17" x14ac:dyDescent="0.2">
      <c r="A212" s="1">
        <v>247</v>
      </c>
      <c r="B212" s="1" t="s">
        <v>1520</v>
      </c>
      <c r="C212" s="1" t="s">
        <v>1521</v>
      </c>
      <c r="D212" s="1" t="s">
        <v>22</v>
      </c>
      <c r="E212" s="1" t="s">
        <v>391</v>
      </c>
      <c r="F212" s="1" t="s">
        <v>1522</v>
      </c>
      <c r="G212" s="1" t="s">
        <v>393</v>
      </c>
      <c r="H212" s="1" t="s">
        <v>450</v>
      </c>
      <c r="I212" s="1" t="s">
        <v>1523</v>
      </c>
      <c r="J212" s="1" t="s">
        <v>31</v>
      </c>
      <c r="K212" s="1" t="s">
        <v>1524</v>
      </c>
      <c r="L212" s="1" t="s">
        <v>1525</v>
      </c>
      <c r="M212" s="1" t="s">
        <v>31</v>
      </c>
      <c r="N212" s="1" t="s">
        <v>31</v>
      </c>
      <c r="O212" s="1" t="s">
        <v>31</v>
      </c>
      <c r="P212" s="1" t="s">
        <v>31</v>
      </c>
      <c r="Q212" s="1" t="s">
        <v>31</v>
      </c>
    </row>
    <row r="213" spans="1:17" x14ac:dyDescent="0.2">
      <c r="A213" s="1">
        <v>248</v>
      </c>
      <c r="B213" s="1" t="s">
        <v>1526</v>
      </c>
      <c r="C213" s="1" t="s">
        <v>1527</v>
      </c>
      <c r="D213" s="1" t="s">
        <v>22</v>
      </c>
      <c r="E213" s="1" t="s">
        <v>23</v>
      </c>
      <c r="F213" s="1" t="s">
        <v>1528</v>
      </c>
      <c r="G213" s="1" t="s">
        <v>1056</v>
      </c>
      <c r="H213" s="1" t="s">
        <v>26</v>
      </c>
      <c r="I213" s="1" t="s">
        <v>1529</v>
      </c>
      <c r="J213" s="1" t="s">
        <v>31</v>
      </c>
      <c r="K213" s="1" t="s">
        <v>1530</v>
      </c>
      <c r="L213" s="1" t="s">
        <v>1531</v>
      </c>
      <c r="M213" s="1" t="s">
        <v>31</v>
      </c>
      <c r="N213" s="1" t="s">
        <v>31</v>
      </c>
      <c r="O213" s="1" t="s">
        <v>31</v>
      </c>
      <c r="P213" s="1" t="s">
        <v>1532</v>
      </c>
      <c r="Q213" s="1" t="s">
        <v>31</v>
      </c>
    </row>
    <row r="214" spans="1:17" x14ac:dyDescent="0.2">
      <c r="A214" s="1">
        <v>482</v>
      </c>
      <c r="B214" s="1" t="s">
        <v>1533</v>
      </c>
      <c r="C214" s="1" t="s">
        <v>1534</v>
      </c>
      <c r="D214" s="1" t="s">
        <v>1535</v>
      </c>
      <c r="E214" s="1" t="s">
        <v>23</v>
      </c>
      <c r="F214" s="1" t="s">
        <v>1536</v>
      </c>
      <c r="G214" s="1" t="s">
        <v>31</v>
      </c>
      <c r="H214" s="1" t="s">
        <v>87</v>
      </c>
      <c r="I214" s="1" t="s">
        <v>1537</v>
      </c>
      <c r="J214" s="1" t="s">
        <v>1538</v>
      </c>
      <c r="K214" s="1" t="s">
        <v>1539</v>
      </c>
      <c r="L214" s="1" t="s">
        <v>1540</v>
      </c>
      <c r="M214" s="1" t="s">
        <v>31</v>
      </c>
      <c r="N214" s="1" t="s">
        <v>31</v>
      </c>
      <c r="O214" s="1" t="s">
        <v>31</v>
      </c>
      <c r="P214" s="1" t="s">
        <v>31</v>
      </c>
      <c r="Q214" s="1" t="s">
        <v>31</v>
      </c>
    </row>
    <row r="215" spans="1:17" x14ac:dyDescent="0.2">
      <c r="A215" s="1">
        <v>484</v>
      </c>
      <c r="B215" s="1" t="s">
        <v>1541</v>
      </c>
      <c r="C215" s="1" t="s">
        <v>1542</v>
      </c>
      <c r="D215" s="1" t="s">
        <v>1535</v>
      </c>
      <c r="E215" s="1" t="s">
        <v>23</v>
      </c>
      <c r="F215" s="1" t="s">
        <v>1543</v>
      </c>
      <c r="G215" s="1" t="s">
        <v>1544</v>
      </c>
      <c r="H215" s="1" t="s">
        <v>87</v>
      </c>
      <c r="I215" s="1" t="s">
        <v>1545</v>
      </c>
      <c r="J215" s="1" t="s">
        <v>1545</v>
      </c>
      <c r="K215" s="1" t="s">
        <v>1546</v>
      </c>
      <c r="L215" s="1" t="s">
        <v>1547</v>
      </c>
      <c r="M215" s="1" t="s">
        <v>31</v>
      </c>
      <c r="N215" s="1" t="s">
        <v>31</v>
      </c>
      <c r="O215" s="1" t="s">
        <v>31</v>
      </c>
      <c r="P215" s="1" t="s">
        <v>31</v>
      </c>
      <c r="Q215" s="1" t="s">
        <v>31</v>
      </c>
    </row>
    <row r="216" spans="1:17" x14ac:dyDescent="0.2">
      <c r="A216" s="1">
        <v>486</v>
      </c>
      <c r="B216" s="1" t="s">
        <v>1548</v>
      </c>
      <c r="C216" s="1" t="s">
        <v>1549</v>
      </c>
      <c r="D216" s="1" t="s">
        <v>1535</v>
      </c>
      <c r="E216" s="1" t="s">
        <v>23</v>
      </c>
      <c r="F216" s="1" t="s">
        <v>1550</v>
      </c>
      <c r="G216" s="1" t="s">
        <v>1551</v>
      </c>
      <c r="H216" s="1" t="s">
        <v>87</v>
      </c>
      <c r="I216" s="1" t="s">
        <v>1552</v>
      </c>
      <c r="J216" s="1" t="s">
        <v>1553</v>
      </c>
      <c r="K216" s="1" t="s">
        <v>1554</v>
      </c>
      <c r="L216" s="1" t="s">
        <v>1555</v>
      </c>
      <c r="M216" s="1" t="s">
        <v>31</v>
      </c>
      <c r="N216" s="1" t="s">
        <v>31</v>
      </c>
      <c r="O216" s="1" t="s">
        <v>31</v>
      </c>
      <c r="P216" s="1" t="s">
        <v>31</v>
      </c>
      <c r="Q216" s="1" t="s">
        <v>31</v>
      </c>
    </row>
    <row r="217" spans="1:17" x14ac:dyDescent="0.2">
      <c r="A217" s="1">
        <v>487</v>
      </c>
      <c r="B217" s="1" t="s">
        <v>1556</v>
      </c>
      <c r="C217" s="1" t="s">
        <v>1557</v>
      </c>
      <c r="D217" s="1" t="s">
        <v>1535</v>
      </c>
      <c r="E217" s="1" t="s">
        <v>23</v>
      </c>
      <c r="F217" s="1" t="s">
        <v>1558</v>
      </c>
      <c r="G217" s="1" t="s">
        <v>186</v>
      </c>
      <c r="H217" s="1" t="s">
        <v>87</v>
      </c>
      <c r="I217" s="1" t="s">
        <v>1559</v>
      </c>
      <c r="J217" s="1" t="s">
        <v>1560</v>
      </c>
      <c r="K217" s="1" t="s">
        <v>1561</v>
      </c>
      <c r="L217" s="1" t="s">
        <v>1562</v>
      </c>
      <c r="M217" s="1" t="s">
        <v>31</v>
      </c>
      <c r="N217" s="1" t="s">
        <v>31</v>
      </c>
      <c r="O217" s="1" t="s">
        <v>31</v>
      </c>
      <c r="P217" s="1" t="s">
        <v>31</v>
      </c>
      <c r="Q217" s="1" t="s">
        <v>31</v>
      </c>
    </row>
    <row r="218" spans="1:17" x14ac:dyDescent="0.2">
      <c r="A218" s="1">
        <v>488</v>
      </c>
      <c r="B218" s="1" t="s">
        <v>1563</v>
      </c>
      <c r="C218" s="1" t="s">
        <v>1564</v>
      </c>
      <c r="D218" s="1" t="s">
        <v>1535</v>
      </c>
      <c r="E218" s="1" t="s">
        <v>23</v>
      </c>
      <c r="F218" s="1" t="s">
        <v>1565</v>
      </c>
      <c r="G218" s="1" t="s">
        <v>25</v>
      </c>
      <c r="H218" s="1" t="s">
        <v>87</v>
      </c>
      <c r="I218" s="1" t="s">
        <v>1566</v>
      </c>
      <c r="J218" s="1" t="s">
        <v>1567</v>
      </c>
      <c r="K218" s="1" t="s">
        <v>1568</v>
      </c>
      <c r="L218" s="1" t="s">
        <v>1569</v>
      </c>
      <c r="M218" s="1" t="s">
        <v>31</v>
      </c>
      <c r="N218" s="1" t="s">
        <v>31</v>
      </c>
      <c r="O218" s="1" t="s">
        <v>31</v>
      </c>
      <c r="P218" s="1" t="s">
        <v>31</v>
      </c>
      <c r="Q218" s="1" t="s">
        <v>31</v>
      </c>
    </row>
    <row r="219" spans="1:17" x14ac:dyDescent="0.2">
      <c r="A219" s="32">
        <f>COUNTA($A$2:$A$218)</f>
        <v>217</v>
      </c>
      <c r="B219" s="1" t="s">
        <v>1688</v>
      </c>
    </row>
    <row r="220" spans="1:17" x14ac:dyDescent="0.2">
      <c r="A220" s="32">
        <f>COUNTA($A$2:$A$213)</f>
        <v>212</v>
      </c>
      <c r="B220" s="1" t="s">
        <v>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Nomenclatura</vt:lpstr>
      <vt:lpstr>P</vt:lpstr>
      <vt:lpstr>D</vt:lpstr>
      <vt:lpstr>Listado Agentes</vt:lpstr>
      <vt:lpstr>D!Área_de_impresión</vt:lpstr>
      <vt:lpstr>P!Área_de_impresión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jsoto</dc:creator>
  <cp:lastModifiedBy>Javier Leis</cp:lastModifiedBy>
  <cp:lastPrinted>2016-05-31T20:03:02Z</cp:lastPrinted>
  <dcterms:created xsi:type="dcterms:W3CDTF">2015-03-10T21:59:13Z</dcterms:created>
  <dcterms:modified xsi:type="dcterms:W3CDTF">2016-06-01T18:08:56Z</dcterms:modified>
</cp:coreProperties>
</file>