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-182-1" sheetId="1" r:id="rId4"/>
  </sheets>
  <definedNames>
    <definedName name="_xlnm.Print_Area" localSheetId="0">'D-182-1'!$A$1:$F$33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sharedStrings.xml><?xml version="1.0" encoding="utf-8"?>
<sst xmlns="http://schemas.openxmlformats.org/spreadsheetml/2006/main" uniqueCount="237">
  <si>
    <t xml:space="preserve">     Licitación Letras del Tesoro Nacional (LETES) en Dólares</t>
  </si>
  <si>
    <t>texto</t>
  </si>
  <si>
    <t>VALOR</t>
  </si>
  <si>
    <t>PESOS</t>
  </si>
  <si>
    <t>1</t>
  </si>
  <si>
    <t>Fecha:</t>
  </si>
  <si>
    <t>13-Jun-2016</t>
  </si>
  <si>
    <t>DÓLARES</t>
  </si>
  <si>
    <t>2</t>
  </si>
  <si>
    <t>4</t>
  </si>
  <si>
    <t>CÓDIGO AGENTE:</t>
  </si>
  <si>
    <t>6</t>
  </si>
  <si>
    <t>NOMBRE:</t>
  </si>
  <si>
    <t>Allaria Ledesma &amp; Cía. S.A.</t>
  </si>
  <si>
    <t>5</t>
  </si>
  <si>
    <t xml:space="preserve">MONEDA DE SUSCRIPCIÓN: </t>
  </si>
  <si>
    <t>7</t>
  </si>
  <si>
    <t>8</t>
  </si>
  <si>
    <t>9</t>
  </si>
  <si>
    <t>PLAZO:</t>
  </si>
  <si>
    <t>10</t>
  </si>
  <si>
    <t>12</t>
  </si>
  <si>
    <t>Ofertas</t>
  </si>
  <si>
    <t xml:space="preserve">Cantidad V/N </t>
  </si>
  <si>
    <t>CUIT Comitente</t>
  </si>
  <si>
    <t>OBSERVACIONES</t>
  </si>
  <si>
    <t>Minimo</t>
  </si>
  <si>
    <t>Múltiplo</t>
  </si>
  <si>
    <t>13</t>
  </si>
  <si>
    <t>20-04878152-8</t>
  </si>
  <si>
    <t>15</t>
  </si>
  <si>
    <t>20-12094699-5</t>
  </si>
  <si>
    <t>16</t>
  </si>
  <si>
    <t>27-22645116-7</t>
  </si>
  <si>
    <t>17</t>
  </si>
  <si>
    <t>18</t>
  </si>
  <si>
    <t>19</t>
  </si>
  <si>
    <t>20</t>
  </si>
  <si>
    <t>21</t>
  </si>
  <si>
    <t>23</t>
  </si>
  <si>
    <t>24</t>
  </si>
  <si>
    <t>25</t>
  </si>
  <si>
    <t>TOTAL:</t>
  </si>
  <si>
    <t>26</t>
  </si>
  <si>
    <t>27</t>
  </si>
  <si>
    <t>Firma autorizada</t>
  </si>
  <si>
    <t>28</t>
  </si>
  <si>
    <t>29</t>
  </si>
  <si>
    <t>Parámetros Licitación:</t>
  </si>
  <si>
    <t>30</t>
  </si>
  <si>
    <t xml:space="preserve">Mínimo VN 1.000 y múltiplo de 1 VN </t>
  </si>
  <si>
    <t>31</t>
  </si>
  <si>
    <t>32</t>
  </si>
  <si>
    <t>33</t>
  </si>
  <si>
    <t>35</t>
  </si>
  <si>
    <t>36</t>
  </si>
  <si>
    <t>37</t>
  </si>
  <si>
    <t>38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</si>
  <si>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</si>
  <si>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</si>
  <si>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</si>
  <si>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</si>
  <si>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</si>
  <si>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</si>
  <si>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</si>
  <si>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</si>
  <si>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</si>
  <si>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</si>
  <si>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</si>
  <si>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</si>
  <si>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</si>
  <si>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</si>
  <si>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</si>
  <si>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57</t>
  </si>
  <si>
    <t>59</t>
  </si>
  <si>
    <t>60</t>
  </si>
  <si>
    <t>61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</si>
  <si>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</si>
  <si>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</si>
  <si>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</si>
  <si>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</si>
  <si>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</si>
  <si>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</si>
  <si>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</si>
  <si>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</si>
  <si>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</si>
  <si>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</si>
  <si>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</si>
  <si>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</si>
  <si>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</si>
  <si>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</si>
  <si>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</si>
  <si>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</si>
  <si>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</si>
  <si>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</si>
  <si>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</si>
  <si>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</si>
  <si>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</si>
  <si>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</si>
  <si>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</si>
  <si>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</si>
  <si>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</si>
  <si>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</si>
  <si>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</si>
  <si>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</si>
  <si>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</si>
  <si>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</si>
  <si>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</si>
  <si>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</si>
  <si>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</si>
  <si>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</si>
  <si>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</si>
  <si>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</si>
  <si>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</si>
  <si>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</si>
  <si>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</si>
  <si>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</si>
  <si>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</si>
  <si>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</si>
  <si>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</si>
  <si>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</si>
  <si>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</si>
  <si>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</si>
  <si>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</si>
  <si>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</si>
  <si>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</si>
  <si>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</si>
  <si>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</si>
  <si>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</si>
  <si>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</si>
  <si>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</si>
  <si>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</si>
  <si>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</si>
  <si>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</si>
  <si>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</si>
  <si>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</si>
  <si>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</si>
  <si>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</si>
  <si>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</si>
  <si>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</si>
  <si>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</si>
  <si>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</si>
  <si>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</si>
  <si>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</si>
  <si>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</si>
  <si>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</si>
  <si>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</si>
  <si>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</si>
  <si>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</si>
  <si>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</si>
  <si>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</si>
  <si>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</si>
  <si>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</si>
  <si>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</si>
  <si>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</si>
  <si>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</si>
  <si>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152</t>
  </si>
  <si>
    <t>153</t>
  </si>
  <si>
    <t>154</t>
  </si>
  <si>
    <t>155</t>
  </si>
  <si>
    <t>156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</si>
  <si>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</si>
  <si>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</si>
  <si>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</si>
  <si>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</si>
  <si>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</si>
  <si>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</si>
  <si>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</si>
  <si>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</si>
  <si>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</si>
  <si>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</si>
  <si>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</si>
  <si>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</si>
  <si>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</si>
  <si>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</si>
  <si>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</si>
  <si>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</si>
  <si>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</si>
  <si>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</si>
  <si>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</si>
  <si>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</si>
  <si>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</si>
  <si>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</si>
  <si>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</si>
  <si>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</si>
  <si>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</si>
  <si>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</si>
  <si>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188</t>
  </si>
  <si>
    <t>189</t>
  </si>
  <si>
    <t>192</t>
  </si>
  <si>
    <t>193</t>
  </si>
  <si>
    <t>194</t>
  </si>
  <si>
    <t>196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</si>
  <si>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</si>
  <si>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</si>
  <si>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</si>
  <si>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</si>
  <si>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</si>
  <si>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</si>
  <si>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</si>
  <si>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</si>
  <si>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</si>
  <si>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</si>
  <si>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</si>
  <si>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</si>
  <si>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</si>
  <si>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</si>
  <si>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</si>
  <si>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</si>
  <si>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</si>
  <si>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</si>
  <si>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</si>
  <si>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218</t>
  </si>
  <si>
    <t>219</t>
  </si>
  <si>
    <t>220</t>
  </si>
  <si>
    <t>221</t>
  </si>
  <si>
    <t>223</t>
  </si>
  <si>
    <t>224</t>
  </si>
  <si>
    <t>225</t>
  </si>
  <si>
    <t>228</t>
  </si>
  <si>
    <t>229</t>
  </si>
  <si>
    <t>231</t>
  </si>
  <si>
    <t>232</t>
  </si>
  <si>
    <t>233</t>
  </si>
  <si>
    <t>234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</si>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</sst>
</file>

<file path=xl/styles.xml><?xml version="1.0" encoding="utf-8"?>
<styleSheet xmlns="http://schemas.openxmlformats.org/spreadsheetml/2006/main" xml:space="preserve">
  <numFmts count="2">
    <numFmt numFmtId="164" formatCode="[$-409]d\-mmm\-yy;@"/>
    <numFmt numFmtId="165" formatCode="00\-00000000\-0"/>
  </numFmts>
  <fonts count="1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FF0000"/>
      <name val="Arial"/>
    </font>
    <font>
      <b val="1"/>
      <i val="0"/>
      <strike val="0"/>
      <u val="none"/>
      <sz val="13"/>
      <color rgb="FFFF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4"/>
      <color rgb="FF000000"/>
      <name val="Calibri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6"/>
      <color rgb="FFFFFFFF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</borders>
  <cellStyleXfs count="1">
    <xf numFmtId="0" fontId="0" fillId="0" borderId="0"/>
  </cellStyleXfs>
  <cellXfs count="5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3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4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3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6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7" numFmtId="3" fillId="3" borderId="4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3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7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1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3" fillId="4" borderId="4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6" numFmtId="49" fillId="3" borderId="0" applyFont="1" applyNumberFormat="1" applyFill="1" applyBorder="0" applyAlignment="0" applyProtection="true">
      <alignment horizontal="general" vertical="bottom" textRotation="0" wrapText="false" shrinkToFit="false"/>
      <protection hidden="true"/>
    </xf>
    <xf xfId="0" fontId="6" numFmtId="1" fillId="3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6" numFmtId="3" fillId="3" borderId="0" applyFont="1" applyNumberFormat="1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0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10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left" vertical="bottom" textRotation="0" wrapText="tru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4" numFmtId="0" fillId="3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7" numFmtId="3" fillId="3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1" numFmtId="0" fillId="3" borderId="7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11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general" vertical="bottom" textRotation="0" wrapText="true" shrinkToFit="false"/>
      <protection hidden="true"/>
    </xf>
    <xf xfId="0" fontId="12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2" borderId="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2" numFmtId="165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10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3" numFmtId="0" fillId="5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3" numFmtId="0" fillId="5" borderId="1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3" numFmtId="0" fillId="5" borderId="1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0" fillId="3" borderId="1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165" fillId="4" borderId="14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1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/>
      <protection hidden="true"/>
    </xf>
  </cellXfs>
  <cellStyles count="1">
    <cellStyle name="Normal" xfId="0" builtinId="0"/>
  </cellStyles>
  <dxfs count="10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sz val="10"/>
        <color rgb="FFFFFFFF"/>
        <name val="Calibri"/>
      </font>
      <numFmt numFmtId="164" formatCode="General"/>
      <fill>
        <patternFill patternType="none"/>
      </fill>
      <alignment horizontal="general" vertical="bottom" textRotation="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1" workbookViewId="0" showGridLines="tru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182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12000</v>
      </c>
      <c r="C14" s="49" t="s">
        <v>29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30000</v>
      </c>
      <c r="C15" s="42" t="s">
        <v>31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>
        <v>120000</v>
      </c>
      <c r="C16" s="42" t="s">
        <v>33</v>
      </c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34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/>
      <c r="C17" s="42"/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35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/>
      <c r="C18" s="42"/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36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42"/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37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42"/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38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2"/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39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2"/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40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2"/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41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42</v>
      </c>
      <c r="B24" s="15" t="str">
        <f>+SUM(B14:B23)</f>
        <v>0</v>
      </c>
      <c r="H24" s="16"/>
      <c r="I24" s="16"/>
      <c r="J24" s="16"/>
      <c r="K24" s="25" t="s">
        <v>43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44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45</v>
      </c>
      <c r="E26" s="41"/>
      <c r="H26" s="16"/>
      <c r="I26" s="16"/>
      <c r="J26" s="16"/>
      <c r="K26" s="25" t="s">
        <v>46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47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48</v>
      </c>
      <c r="H28" s="16"/>
      <c r="I28" s="16"/>
      <c r="J28" s="16"/>
      <c r="K28" s="25" t="s">
        <v>49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50</v>
      </c>
      <c r="B29" s="28"/>
      <c r="C29" s="28"/>
      <c r="D29" s="28"/>
      <c r="E29" s="28"/>
      <c r="F29" s="28"/>
      <c r="H29" s="16"/>
      <c r="I29" s="16"/>
      <c r="J29" s="16"/>
      <c r="K29" s="25" t="s">
        <v>51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52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53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54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55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56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57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58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59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60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61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62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63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64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65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66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67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68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69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70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71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72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73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74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75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76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77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78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79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80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81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82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83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84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85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86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87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88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89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90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91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92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93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94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95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96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97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98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99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100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101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102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103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104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105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106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107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108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109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110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111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112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113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114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115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116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117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118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119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120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121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122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123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124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125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126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127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128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129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130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131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132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133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134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135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136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137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138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139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140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141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142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143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144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145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146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147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148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149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150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151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152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153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154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155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156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157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158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159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160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161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162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163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164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165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166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167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168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169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170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171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172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173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174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175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176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177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178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179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180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181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182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183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184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185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186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187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188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189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190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191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192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193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194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195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196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197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198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199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200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201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202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203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204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205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206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207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208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209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210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211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212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213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214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215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216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217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218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219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220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221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222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223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224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225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226</v>
      </c>
      <c r="L204" s="26">
        <v>238</v>
      </c>
      <c r="Y204" s="31">
        <v>199</v>
      </c>
    </row>
    <row r="205" spans="1:40">
      <c r="K205" s="25" t="s">
        <v>227</v>
      </c>
      <c r="L205" s="26">
        <v>239</v>
      </c>
      <c r="Y205" s="31">
        <v>200</v>
      </c>
    </row>
    <row r="206" spans="1:40">
      <c r="K206" s="25" t="s">
        <v>228</v>
      </c>
      <c r="L206" s="26">
        <v>240</v>
      </c>
      <c r="Y206" s="31">
        <v>201</v>
      </c>
    </row>
    <row r="207" spans="1:40">
      <c r="K207" s="25" t="s">
        <v>229</v>
      </c>
      <c r="L207" s="26">
        <v>241</v>
      </c>
      <c r="Y207" s="31">
        <v>202</v>
      </c>
    </row>
    <row r="208" spans="1:40">
      <c r="K208" s="25" t="s">
        <v>230</v>
      </c>
      <c r="L208" s="26">
        <v>242</v>
      </c>
      <c r="Y208" s="31">
        <v>203</v>
      </c>
    </row>
    <row r="209" spans="1:40">
      <c r="K209" s="25" t="s">
        <v>231</v>
      </c>
      <c r="L209" s="26">
        <v>243</v>
      </c>
      <c r="Y209" s="31">
        <v>204</v>
      </c>
    </row>
    <row r="210" spans="1:40">
      <c r="K210" s="25" t="s">
        <v>232</v>
      </c>
      <c r="L210" s="26">
        <v>244</v>
      </c>
      <c r="Y210" s="31">
        <v>205</v>
      </c>
    </row>
    <row r="211" spans="1:40">
      <c r="K211" s="25" t="s">
        <v>233</v>
      </c>
      <c r="L211" s="26">
        <v>245</v>
      </c>
      <c r="Y211" s="31">
        <v>206</v>
      </c>
    </row>
    <row r="212" spans="1:40">
      <c r="K212" s="25" t="s">
        <v>234</v>
      </c>
      <c r="L212" s="26">
        <v>246</v>
      </c>
      <c r="Y212" s="31">
        <v>207</v>
      </c>
    </row>
    <row r="213" spans="1:40">
      <c r="K213" s="25" t="s">
        <v>235</v>
      </c>
      <c r="L213" s="26">
        <v>247</v>
      </c>
      <c r="Y213" s="31">
        <v>208</v>
      </c>
    </row>
    <row r="214" spans="1:40">
      <c r="K214" s="25" t="s">
        <v>236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7" priority="9" operator="containsText" text="*-*">
      <formula>NOT(ISERROR(SEARCH("*-*",B8)))</formula>
    </cfRule>
  </conditionalFormatting>
  <conditionalFormatting sqref="B8">
    <cfRule type="containsText" dxfId="8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9" priority="12">
      <formula>$C$7=1</formula>
    </cfRule>
  </conditionalFormatting>
  <conditionalFormatting sqref="A20">
    <cfRule type="expression" dxfId="9" priority="13">
      <formula>$C$7=1</formula>
    </cfRule>
  </conditionalFormatting>
  <conditionalFormatting sqref="A21">
    <cfRule type="expression" dxfId="9" priority="14">
      <formula>$C$7=1</formula>
    </cfRule>
  </conditionalFormatting>
  <conditionalFormatting sqref="A22">
    <cfRule type="expression" dxfId="9" priority="15">
      <formula>$C$7=1</formula>
    </cfRule>
  </conditionalFormatting>
  <conditionalFormatting sqref="A23">
    <cfRule type="expression" dxfId="9" priority="16">
      <formula>$C$7=1</formula>
    </cfRule>
  </conditionalFormatting>
  <conditionalFormatting sqref="B19">
    <cfRule type="expression" dxfId="9" priority="17">
      <formula>$C$7=1</formula>
    </cfRule>
  </conditionalFormatting>
  <conditionalFormatting sqref="B20">
    <cfRule type="expression" dxfId="9" priority="18">
      <formula>$C$7=1</formula>
    </cfRule>
  </conditionalFormatting>
  <conditionalFormatting sqref="B21">
    <cfRule type="expression" dxfId="9" priority="19">
      <formula>$C$7=1</formula>
    </cfRule>
  </conditionalFormatting>
  <conditionalFormatting sqref="B22">
    <cfRule type="expression" dxfId="9" priority="20">
      <formula>$C$7=1</formula>
    </cfRule>
  </conditionalFormatting>
  <conditionalFormatting sqref="B23">
    <cfRule type="expression" dxfId="9" priority="21">
      <formula>$C$7=1</formula>
    </cfRule>
  </conditionalFormatting>
  <conditionalFormatting sqref="C19">
    <cfRule type="expression" dxfId="9" priority="22">
      <formula>$C$7=1</formula>
    </cfRule>
  </conditionalFormatting>
  <conditionalFormatting sqref="C20">
    <cfRule type="expression" dxfId="9" priority="23">
      <formula>$C$7=1</formula>
    </cfRule>
  </conditionalFormatting>
  <conditionalFormatting sqref="C21">
    <cfRule type="expression" dxfId="9" priority="24">
      <formula>$C$7=1</formula>
    </cfRule>
  </conditionalFormatting>
  <conditionalFormatting sqref="C22">
    <cfRule type="expression" dxfId="9" priority="25">
      <formula>$C$7=1</formula>
    </cfRule>
  </conditionalFormatting>
  <conditionalFormatting sqref="C23">
    <cfRule type="expression" dxfId="9" priority="26">
      <formula>$C$7=1</formula>
    </cfRule>
  </conditionalFormatting>
  <conditionalFormatting sqref="C24">
    <cfRule type="expression" dxfId="9" priority="27">
      <formula>$C$7=1</formula>
    </cfRule>
  </conditionalFormatting>
  <conditionalFormatting sqref="D19">
    <cfRule type="expression" dxfId="9" priority="28">
      <formula>$C$7=1</formula>
    </cfRule>
  </conditionalFormatting>
  <conditionalFormatting sqref="D20">
    <cfRule type="expression" dxfId="9" priority="29">
      <formula>$C$7=1</formula>
    </cfRule>
  </conditionalFormatting>
  <conditionalFormatting sqref="D21">
    <cfRule type="expression" dxfId="9" priority="30">
      <formula>$C$7=1</formula>
    </cfRule>
  </conditionalFormatting>
  <conditionalFormatting sqref="D22">
    <cfRule type="expression" dxfId="9" priority="31">
      <formula>$C$7=1</formula>
    </cfRule>
  </conditionalFormatting>
  <conditionalFormatting sqref="D23">
    <cfRule type="expression" dxfId="9" priority="32">
      <formula>$C$7=1</formula>
    </cfRule>
  </conditionalFormatting>
  <conditionalFormatting sqref="D24">
    <cfRule type="expression" dxfId="9" priority="33">
      <formula>$C$7=1</formula>
    </cfRule>
  </conditionalFormatting>
  <conditionalFormatting sqref="E19">
    <cfRule type="expression" dxfId="9" priority="34">
      <formula>$C$7=1</formula>
    </cfRule>
  </conditionalFormatting>
  <conditionalFormatting sqref="E20">
    <cfRule type="expression" dxfId="9" priority="35">
      <formula>$C$7=1</formula>
    </cfRule>
  </conditionalFormatting>
  <conditionalFormatting sqref="E21">
    <cfRule type="expression" dxfId="9" priority="36">
      <formula>$C$7=1</formula>
    </cfRule>
  </conditionalFormatting>
  <conditionalFormatting sqref="E22">
    <cfRule type="expression" dxfId="9" priority="37">
      <formula>$C$7=1</formula>
    </cfRule>
  </conditionalFormatting>
  <conditionalFormatting sqref="E23">
    <cfRule type="expression" dxfId="9" priority="38">
      <formula>$C$7=1</formula>
    </cfRule>
  </conditionalFormatting>
  <conditionalFormatting sqref="E24">
    <cfRule type="expression" dxfId="9" priority="39">
      <formula>$C$7=1</formula>
    </cfRule>
  </conditionalFormatting>
  <conditionalFormatting sqref="F19">
    <cfRule type="expression" dxfId="9" priority="40">
      <formula>$C$7=1</formula>
    </cfRule>
  </conditionalFormatting>
  <conditionalFormatting sqref="F20">
    <cfRule type="expression" dxfId="9" priority="41">
      <formula>$C$7=1</formula>
    </cfRule>
  </conditionalFormatting>
  <conditionalFormatting sqref="F21">
    <cfRule type="expression" dxfId="9" priority="42">
      <formula>$C$7=1</formula>
    </cfRule>
  </conditionalFormatting>
  <conditionalFormatting sqref="F22">
    <cfRule type="expression" dxfId="9" priority="43">
      <formula>$C$7=1</formula>
    </cfRule>
  </conditionalFormatting>
  <conditionalFormatting sqref="F23">
    <cfRule type="expression" dxfId="9" priority="44">
      <formula>$C$7=1</formula>
    </cfRule>
  </conditionalFormatting>
  <conditionalFormatting sqref="F24">
    <cfRule type="expression" dxfId="9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D-182-1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jsoto</dc:creator>
  <cp:lastModifiedBy>Javier Leis</cp:lastModifiedBy>
  <dcterms:created xsi:type="dcterms:W3CDTF">2015-03-10T18:59:13-03:00</dcterms:created>
  <dcterms:modified xsi:type="dcterms:W3CDTF">2016-06-01T16:56:42-03:00</dcterms:modified>
  <dc:title/>
  <dc:description/>
  <dc:subject/>
  <cp:keywords/>
  <cp:category/>
</cp:coreProperties>
</file>