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1" firstSheet="0" minimized="0" showHorizontalScroll="1" showSheetTabs="1" showVerticalScroll="1" tabRatio="600" visibility="visible"/>
  </bookViews>
  <sheets>
    <sheet name="CD-132-1" sheetId="1" r:id="rId4"/>
  </sheets>
  <definedNames>
    <definedName name="_xlnm.Print_Area" localSheetId="0">'CD-132-1'!$A$2:$F$33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<sst xmlns="http://schemas.openxmlformats.org/spreadsheetml/2006/main" uniqueCount="242">
  <si>
    <t xml:space="preserve">     Licitación Letras del Tesoro Nacional (LETES) en Dólares</t>
  </si>
  <si>
    <t>texto</t>
  </si>
  <si>
    <t>VALOR</t>
  </si>
  <si>
    <t>PESOS</t>
  </si>
  <si>
    <t>COMPETITIVO</t>
  </si>
  <si>
    <t>1</t>
  </si>
  <si>
    <t>Fecha:</t>
  </si>
  <si>
    <t>18-May-2016</t>
  </si>
  <si>
    <t>DÓLARES</t>
  </si>
  <si>
    <t>NO COMPETITIVO</t>
  </si>
  <si>
    <t>2</t>
  </si>
  <si>
    <t>4</t>
  </si>
  <si>
    <t>CÓDIGO AGENTE:</t>
  </si>
  <si>
    <t>6</t>
  </si>
  <si>
    <t>NOMBRE:</t>
  </si>
  <si>
    <t>Allaria Ledesma &amp; Cía. S.A.</t>
  </si>
  <si>
    <t>5</t>
  </si>
  <si>
    <t>TRAMO:</t>
  </si>
  <si>
    <t xml:space="preserve">MONEDA DE SUSCRIPCIÓN: </t>
  </si>
  <si>
    <t>DOLARES</t>
  </si>
  <si>
    <t>7</t>
  </si>
  <si>
    <t>8</t>
  </si>
  <si>
    <t>9</t>
  </si>
  <si>
    <t>PLAZO:</t>
  </si>
  <si>
    <t>10</t>
  </si>
  <si>
    <t>12</t>
  </si>
  <si>
    <t>Ofertas</t>
  </si>
  <si>
    <t xml:space="preserve">Cantidad V/N </t>
  </si>
  <si>
    <t>Precio (*)</t>
  </si>
  <si>
    <t>CUIT Comitente</t>
  </si>
  <si>
    <t>OBSERVACIONES</t>
  </si>
  <si>
    <t>Minimo</t>
  </si>
  <si>
    <t>Múltiplo</t>
  </si>
  <si>
    <t>13</t>
  </si>
  <si>
    <t>20-25374963-7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</si>
  <si>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</si>
  <si>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</si>
  <si>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</si>
  <si>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</si>
  <si>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</si>
  <si>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</si>
  <si>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</si>
  <si>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</si>
  <si>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</si>
  <si>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</si>
  <si>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TOTAL:</t>
  </si>
  <si>
    <t>26</t>
  </si>
  <si>
    <t>27</t>
  </si>
  <si>
    <t>Firma autorizada</t>
  </si>
  <si>
    <t>28</t>
  </si>
  <si>
    <t>29</t>
  </si>
  <si>
    <t>Parámetros Licitación:</t>
  </si>
  <si>
    <t>30</t>
  </si>
  <si>
    <t xml:space="preserve">TRAMO COMPETITIVO: Mínimo VN 1.000 y múltiplo de 1 VN </t>
  </si>
  <si>
    <t>31</t>
  </si>
  <si>
    <t>TRAMO NO COMPETITIVO: Mínimo VN 1.000 y Múltiplo de VN 1</t>
  </si>
  <si>
    <t>32</t>
  </si>
  <si>
    <t>(*) Formato de precio: por VN 1.000 con hasta dos decimales.</t>
  </si>
  <si>
    <t>33</t>
  </si>
  <si>
    <t>35</t>
  </si>
  <si>
    <t>36</t>
  </si>
  <si>
    <t>37</t>
  </si>
  <si>
    <t>38</t>
  </si>
  <si>
    <t>40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</si>
  <si>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</si>
  <si>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</si>
  <si>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</si>
  <si>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</si>
  <si>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</si>
  <si>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</si>
  <si>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</si>
  <si>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</si>
  <si>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</si>
  <si>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</si>
  <si>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</si>
  <si>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</si>
  <si>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55</t>
  </si>
  <si>
    <t>56</t>
  </si>
  <si>
    <t>57</t>
  </si>
  <si>
    <t>59</t>
  </si>
  <si>
    <t>60</t>
  </si>
  <si>
    <t>61</t>
  </si>
  <si>
    <t>63</t>
  </si>
  <si>
    <t>64</t>
  </si>
  <si>
    <t>65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</si>
  <si>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</si>
  <si>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</si>
  <si>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</si>
  <si>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</si>
  <si>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</si>
  <si>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</si>
  <si>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</si>
  <si>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</si>
  <si>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</si>
  <si>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</si>
  <si>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</si>
  <si>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</si>
  <si>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</si>
  <si>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</si>
  <si>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</si>
  <si>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</si>
  <si>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</si>
  <si>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</si>
  <si>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</si>
  <si>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</si>
  <si>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</si>
  <si>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</si>
  <si>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</si>
  <si>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</si>
  <si>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</si>
  <si>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</si>
  <si>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</si>
  <si>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</si>
  <si>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</si>
  <si>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</si>
  <si>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</si>
  <si>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</si>
  <si>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</si>
  <si>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</si>
  <si>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</si>
  <si>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</si>
  <si>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</si>
  <si>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</si>
  <si>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</si>
  <si>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</si>
  <si>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</si>
  <si>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</si>
  <si>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</si>
  <si>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</si>
  <si>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</si>
  <si>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</si>
  <si>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</si>
  <si>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</si>
  <si>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</si>
  <si>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</si>
  <si>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</si>
  <si>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</si>
  <si>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</si>
  <si>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</si>
  <si>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</si>
  <si>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</si>
  <si>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</si>
  <si>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</si>
  <si>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</si>
  <si>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</si>
  <si>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</si>
  <si>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</si>
  <si>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</si>
  <si>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</si>
  <si>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</si>
  <si>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</si>
  <si>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</si>
  <si>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</si>
  <si>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</si>
  <si>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</si>
  <si>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</si>
  <si>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</si>
  <si>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</si>
  <si>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</si>
  <si>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</si>
  <si>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</si>
  <si>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152</t>
  </si>
  <si>
    <t>153</t>
  </si>
  <si>
    <t>154</t>
  </si>
  <si>
    <t>155</t>
  </si>
  <si>
    <t>156</t>
  </si>
  <si>
    <t>159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</si>
  <si>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</si>
  <si>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</si>
  <si>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</si>
  <si>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</si>
  <si>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</si>
  <si>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</si>
  <si>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</si>
  <si>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</si>
  <si>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</si>
  <si>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</si>
  <si>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</si>
  <si>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</si>
  <si>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</si>
  <si>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</si>
  <si>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</si>
  <si>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</si>
  <si>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</si>
  <si>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</si>
  <si>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</si>
  <si>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</si>
  <si>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</si>
  <si>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</si>
  <si>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</si>
  <si>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</si>
  <si>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</si>
  <si>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188</t>
  </si>
  <si>
    <t>189</t>
  </si>
  <si>
    <t>192</t>
  </si>
  <si>
    <t>193</t>
  </si>
  <si>
    <t>194</t>
  </si>
  <si>
    <t>196</t>
  </si>
  <si>
    <t>197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</si>
  <si>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</si>
  <si>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</si>
  <si>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</si>
  <si>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</si>
  <si>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</si>
  <si>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</si>
  <si>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</si>
  <si>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</si>
  <si>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</si>
  <si>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</si>
  <si>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</si>
  <si>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</si>
  <si>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</si>
  <si>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</si>
  <si>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</si>
  <si>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</si>
  <si>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</si>
  <si>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</si>
  <si>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218</t>
  </si>
  <si>
    <t>219</t>
  </si>
  <si>
    <t>220</t>
  </si>
  <si>
    <t>221</t>
  </si>
  <si>
    <t>223</t>
  </si>
  <si>
    <t>224</t>
  </si>
  <si>
    <t>225</t>
  </si>
  <si>
    <t>228</t>
  </si>
  <si>
    <t>229</t>
  </si>
  <si>
    <t>231</t>
  </si>
  <si>
    <t>232</t>
  </si>
  <si>
    <t>233</t>
  </si>
  <si>
    <t>234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</si>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</sst>
</file>

<file path=xl/styles.xml><?xml version="1.0" encoding="utf-8"?>
<styleSheet xmlns="http://schemas.openxmlformats.org/spreadsheetml/2006/main" xml:space="preserve">
  <numFmts count="2">
    <numFmt numFmtId="164" formatCode="[$-409]d\-mmm\-yy;@"/>
    <numFmt numFmtId="165" formatCode="00\-00000000\-0"/>
  </numFmts>
  <fonts count="1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FF0000"/>
      <name val="Arial"/>
    </font>
    <font>
      <b val="1"/>
      <i val="0"/>
      <strike val="0"/>
      <u val="none"/>
      <sz val="13"/>
      <color rgb="FFFF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4"/>
      <color rgb="FF000000"/>
      <name val="Calibri"/>
    </font>
    <font>
      <b val="0"/>
      <i val="0"/>
      <strike val="0"/>
      <u val="none"/>
      <sz val="10"/>
      <color rgb="FFFFFFFF"/>
      <name val="Arial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hair">
        <color rgb="FF000000"/>
      </top>
    </border>
  </borders>
  <cellStyleXfs count="1">
    <xf numFmtId="0" fontId="0" fillId="0" borderId="0"/>
  </cellStyleXfs>
  <cellXfs count="5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justify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right" vertical="bottom" textRotation="0" wrapText="false" shrinkToFit="false"/>
      <protection hidden="true"/>
    </xf>
    <xf xfId="0" fontId="0" numFmtId="14" fillId="3" borderId="0" applyFont="0" applyNumberFormat="1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1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164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3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4" numFmtId="0" fillId="3" borderId="3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" numFmtId="3" fillId="3" borderId="4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3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5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6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7" numFmtId="3" fillId="3" borderId="4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3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7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49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1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3" fillId="4" borderId="4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3" fillId="4" borderId="5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6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6" numFmtId="49" fillId="3" borderId="0" applyFont="1" applyNumberFormat="1" applyFill="1" applyBorder="0" applyAlignment="0" applyProtection="true">
      <alignment horizontal="general" vertical="bottom" textRotation="0" wrapText="false" shrinkToFit="false"/>
      <protection hidden="true"/>
    </xf>
    <xf xfId="0" fontId="6" numFmtId="1" fillId="3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6" numFmtId="3" fillId="3" borderId="0" applyFont="1" applyNumberFormat="1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9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10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10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left" vertical="bottom" textRotation="0" wrapText="true" shrinkToFit="false"/>
      <protection hidden="true"/>
    </xf>
    <xf xfId="0" fontId="2" numFmtId="4" fillId="4" borderId="4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4" fillId="4" borderId="5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8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3" numFmtId="2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1" numFmtId="0" fillId="5" borderId="7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1" numFmtId="0" fillId="5" borderId="8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1" numFmtId="0" fillId="5" borderId="9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2" numFmtId="0" fillId="3" borderId="7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9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165" fillId="4" borderId="10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5" fillId="4" borderId="11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5" fillId="4" borderId="12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5" fillId="4" borderId="1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1" fillId="3" borderId="1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14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2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3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4" borderId="2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2" numFmtId="0" fillId="3" borderId="15" applyFont="1" applyNumberFormat="0" applyFill="1" applyBorder="1" applyAlignment="1" applyProtection="true">
      <alignment horizontal="left" vertical="bottom" textRotation="0" wrapText="false" shrinkToFit="false" indent="1"/>
      <protection hidden="true"/>
    </xf>
    <xf xfId="0" fontId="12" numFmtId="0" fillId="3" borderId="0" applyFont="1" applyNumberFormat="0" applyFill="1" applyBorder="0" applyAlignment="1" applyProtection="true">
      <alignment horizontal="left" vertical="bottom" textRotation="0" wrapText="false" shrinkToFit="false" indent="1"/>
      <protection hidden="true"/>
    </xf>
    <xf xfId="0" fontId="13" numFmtId="0" fillId="3" borderId="15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13" numFmtId="0" fillId="3" borderId="16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true" shrinkToFit="false"/>
      <protection hidden="true"/>
    </xf>
    <xf xfId="0" fontId="2" numFmtId="0" fillId="2" borderId="17" applyFont="1" applyNumberFormat="0" applyFill="0" applyBorder="1" applyAlignment="1" applyProtection="true">
      <alignment horizontal="center" vertical="bottom" textRotation="0" wrapText="false" shrinkToFit="false"/>
      <protection hidden="true"/>
    </xf>
  </cellXfs>
  <cellStyles count="1">
    <cellStyle name="Normal" xfId="0" builtinId="0"/>
  </cellStyles>
  <dxfs count="8"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sz val="10"/>
        <color rgb="FFFFFFFF"/>
        <name val="Calibri"/>
      </font>
      <numFmt numFmtId="164" formatCode="General"/>
      <fill>
        <patternFill patternType="none"/>
      </fill>
      <alignment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defaultColWidth="9.140625" outlineLevelRow="0" outlineLevelCol="0"/>
  <cols>
    <col min="1" max="1" width="20.5703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9.140625" style="32"/>
  </cols>
  <sheetData>
    <row r="1" spans="1:40" customHeight="1" ht="13.5"/>
    <row r="2" spans="1:40" customHeight="1" ht="27">
      <c r="A2" s="38" t="s">
        <v>0</v>
      </c>
      <c r="B2" s="39"/>
      <c r="C2" s="39"/>
      <c r="D2" s="39"/>
      <c r="E2" s="39"/>
      <c r="F2" s="40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 t="s">
        <v>4</v>
      </c>
      <c r="J3" s="16"/>
      <c r="K3" s="25" t="s">
        <v>5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2"/>
      <c r="E4" s="5" t="s">
        <v>6</v>
      </c>
      <c r="F4" s="6" t="s">
        <v>7</v>
      </c>
      <c r="H4" s="16" t="s">
        <v>8</v>
      </c>
      <c r="I4" s="16" t="s">
        <v>9</v>
      </c>
      <c r="J4" s="16"/>
      <c r="K4" s="25" t="s">
        <v>10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 t="str">
        <f>AND(H5="",B6&lt;&gt;"")</f>
        <v>0</v>
      </c>
      <c r="J5" s="16"/>
      <c r="K5" s="25" t="s">
        <v>11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12</v>
      </c>
      <c r="B6" s="20" t="s">
        <v>13</v>
      </c>
      <c r="C6" s="29" t="s">
        <v>14</v>
      </c>
      <c r="D6" s="47" t="s">
        <v>15</v>
      </c>
      <c r="E6" s="48"/>
      <c r="F6" s="49"/>
      <c r="H6" s="25"/>
      <c r="I6" s="16"/>
      <c r="J6" s="16"/>
      <c r="K6" s="25" t="s">
        <v>16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+IF(B8="Competitivo",1,0)</f>
        <v>0</v>
      </c>
      <c r="H7" s="16"/>
      <c r="I7" s="16"/>
      <c r="J7" s="16"/>
      <c r="K7" s="25" t="s">
        <v>13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7" t="s">
        <v>17</v>
      </c>
      <c r="B8" s="37" t="s">
        <v>4</v>
      </c>
      <c r="C8" s="54" t="s">
        <v>18</v>
      </c>
      <c r="D8" s="55"/>
      <c r="E8" s="50" t="s">
        <v>19</v>
      </c>
      <c r="F8" s="51"/>
      <c r="H8" s="24">
        <v>91</v>
      </c>
      <c r="I8" s="16"/>
      <c r="J8" s="16"/>
      <c r="K8" s="25" t="s">
        <v>20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>
        <v>7</v>
      </c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21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22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23</v>
      </c>
      <c r="B11" s="21">
        <v>132</v>
      </c>
      <c r="C11" s="52" t="str">
        <f>IF(AND(B14&lt;&gt;"",F14="",B11=""),"RECUERDE INGRESAR PLAZO","")</f>
        <v>0</v>
      </c>
      <c r="D11" s="53"/>
      <c r="E11" s="53"/>
      <c r="F11" s="53"/>
      <c r="H11" s="16"/>
      <c r="I11" s="16"/>
      <c r="J11" s="16"/>
      <c r="K11" s="25" t="s">
        <v>24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25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26</v>
      </c>
      <c r="B13" s="10" t="s">
        <v>27</v>
      </c>
      <c r="C13" s="10" t="s">
        <v>28</v>
      </c>
      <c r="D13" s="41" t="s">
        <v>29</v>
      </c>
      <c r="E13" s="42"/>
      <c r="F13" s="11" t="s">
        <v>30</v>
      </c>
      <c r="G13" s="16" t="s">
        <v>31</v>
      </c>
      <c r="H13" s="16" t="s">
        <v>32</v>
      </c>
      <c r="I13" s="16"/>
      <c r="J13" s="16"/>
      <c r="K13" s="25" t="s">
        <v>33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1200</v>
      </c>
      <c r="C14" s="34">
        <v>999.99</v>
      </c>
      <c r="D14" s="43" t="s">
        <v>34</v>
      </c>
      <c r="E14" s="44"/>
      <c r="F14" s="17" t="str">
        <f>IF(B14="","",
      IF($B$8="NO COMPETITIVO",
                  IF($E$8="","COMPLETE MONEDA",
                              IF(C14="","","NO INGRESAR PRECIO")),
       IF($B$8="COMPETITIVO",
                   IF($E$8="","COMPLETE MONEDA",
                              IF(C14="","INGRESAR PRECIO","")),"")
))</f>
        <v>0</v>
      </c>
      <c r="G14" s="27">
        <v>1000</v>
      </c>
      <c r="H14" s="27">
        <v>1</v>
      </c>
      <c r="I14" s="16"/>
      <c r="J14" s="16"/>
      <c r="K14" s="25" t="s">
        <v>35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/>
      <c r="C15" s="35"/>
      <c r="D15" s="45"/>
      <c r="E15" s="46"/>
      <c r="F15" s="19" t="str">
        <f>IF(B15="","",
      IF($B$8="NO COMPETITIVO",
                  IF($E$8="","COMPLETE MONEDA",
                              IF(C15="","","NO INGRESAR PRECIO")),
       IF($B$8="COMPETITIVO",
                   IF($E$8="","COMPLETE MONEDA",
                              IF(C15="","INGRESAR PRECIO","")),"")
))</f>
        <v>0</v>
      </c>
      <c r="G15" s="27">
        <v>1000</v>
      </c>
      <c r="H15" s="27">
        <v>1</v>
      </c>
      <c r="I15" s="16"/>
      <c r="J15" s="16"/>
      <c r="K15" s="25" t="s">
        <v>36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/>
      <c r="C16" s="35"/>
      <c r="D16" s="45"/>
      <c r="E16" s="46"/>
      <c r="F16" s="19" t="str">
        <f>IF(B16="","",
      IF($B$8="NO COMPETITIVO",
                  IF($E$8="","COMPLETE MONEDA",
                              IF(C16="","","NO INGRESAR PRECIO")),
       IF($B$8="COMPETITIVO",
                   IF($E$8="","COMPLETE MONEDA",
                              IF(C16="","INGRESAR PRECIO","")),"")
))</f>
        <v>0</v>
      </c>
      <c r="G16" s="27">
        <v>1000</v>
      </c>
      <c r="H16" s="27">
        <v>1</v>
      </c>
      <c r="I16" s="16"/>
      <c r="J16" s="16"/>
      <c r="K16" s="25" t="s">
        <v>37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/>
      <c r="C17" s="35"/>
      <c r="D17" s="45"/>
      <c r="E17" s="46"/>
      <c r="F17" s="19" t="str">
        <f>IF(B17="","",
      IF($B$8="NO COMPETITIVO",
                  IF($E$8="","COMPLETE MONEDA",
                              IF(C17="","","NO INGRESAR PRECIO")),
       IF($B$8="COMPETITIVO",
                   IF($E$8="","COMPLETE MONEDA",
                              IF(C17="","INGRESAR PRECIO","")),"")
))</f>
        <v>0</v>
      </c>
      <c r="G17" s="27">
        <v>1000</v>
      </c>
      <c r="H17" s="27">
        <v>1</v>
      </c>
      <c r="I17" s="16"/>
      <c r="J17" s="16"/>
      <c r="K17" s="25" t="s">
        <v>38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/>
      <c r="C18" s="35"/>
      <c r="D18" s="45"/>
      <c r="E18" s="46"/>
      <c r="F18" s="19" t="str">
        <f>IF(B18="","",
      IF($B$8="NO COMPETITIVO",
                  IF($E$8="","COMPLETE MONEDA",
                              IF(C18="","","NO INGRESAR PRECIO")),
       IF($B$8="COMPETITIVO",
                   IF($E$8="","COMPLETE MONEDA",
                              IF(C18="","INGRESAR PRECIO","")),"")
))</f>
        <v>0</v>
      </c>
      <c r="G18" s="27">
        <v>1000</v>
      </c>
      <c r="H18" s="27">
        <v>1</v>
      </c>
      <c r="I18" s="16"/>
      <c r="J18" s="16"/>
      <c r="K18" s="25" t="s">
        <v>39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/>
      <c r="C19" s="35"/>
      <c r="D19" s="45"/>
      <c r="E19" s="46"/>
      <c r="F19" s="19" t="str">
        <f>IF(B19="","",
      IF($B$8="NO COMPETITIVO",
                  IF($E$8="","COMPLETE MONEDA",
                              IF(C19="","","NO INGRESAR PRECIO")),
       IF($B$8="COMPETITIVO",
                   IF($E$8="","COMPLETE MONEDA",
                              IF(C19="","INGRESAR PRECIO","")),"")
))</f>
        <v>0</v>
      </c>
      <c r="G19" s="27">
        <v>1000</v>
      </c>
      <c r="H19" s="27">
        <v>1</v>
      </c>
      <c r="I19" s="27"/>
      <c r="J19" s="16"/>
      <c r="K19" s="25" t="s">
        <v>40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/>
      <c r="C20" s="35"/>
      <c r="D20" s="45"/>
      <c r="E20" s="46"/>
      <c r="F20" s="19" t="str">
        <f>IF(B20="","",
      IF($B$8="NO COMPETITIVO",
                  IF($E$8="","COMPLETE MONEDA",
                              IF(C20="","","NO INGRESAR PRECIO")),
       IF($B$8="COMPETITIVO",
                   IF($E$8="","COMPLETE MONEDA",
                              IF(C20="","INGRESAR PRECIO","")),"")
))</f>
        <v>0</v>
      </c>
      <c r="G20" s="27">
        <v>1000</v>
      </c>
      <c r="H20" s="27">
        <v>1</v>
      </c>
      <c r="I20" s="27"/>
      <c r="J20" s="16"/>
      <c r="K20" s="25" t="s">
        <v>41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/>
      <c r="C21" s="35"/>
      <c r="D21" s="45"/>
      <c r="E21" s="46"/>
      <c r="F21" s="19" t="str">
        <f>IF(B21="","",
      IF($B$8="NO COMPETITIVO",
                  IF($E$8="","COMPLETE MONEDA",
                              IF(C21="","","NO INGRESAR PRECIO")),
       IF($B$8="COMPETITIVO",
                   IF($E$8="","COMPLETE MONEDA",
                              IF(C21="","INGRESAR PRECIO","")),"")
))</f>
        <v>0</v>
      </c>
      <c r="G21" s="27">
        <v>1000</v>
      </c>
      <c r="H21" s="27">
        <v>1</v>
      </c>
      <c r="I21" s="16"/>
      <c r="J21" s="16"/>
      <c r="K21" s="25" t="s">
        <v>42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/>
      <c r="C22" s="35"/>
      <c r="D22" s="45"/>
      <c r="E22" s="46"/>
      <c r="F22" s="19" t="str">
        <f>IF(B22="","",
      IF($B$8="NO COMPETITIVO",
                  IF($E$8="","COMPLETE MONEDA",
                              IF(C22="","","NO INGRESAR PRECIO")),
       IF($B$8="COMPETITIVO",
                   IF($E$8="","COMPLETE MONEDA",
                              IF(C22="","INGRESAR PRECIO","")),"")
))</f>
        <v>0</v>
      </c>
      <c r="G22" s="27">
        <v>1000</v>
      </c>
      <c r="H22" s="27">
        <v>1</v>
      </c>
      <c r="I22" s="16"/>
      <c r="J22" s="16"/>
      <c r="K22" s="25" t="s">
        <v>43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/>
      <c r="C23" s="35"/>
      <c r="D23" s="45"/>
      <c r="E23" s="46"/>
      <c r="F23" s="19" t="str">
        <f>IF(B23="","",
      IF($B$8="NO COMPETITIVO",
                  IF($E$8="","COMPLETE MONEDA",
                              IF(C23="","","NO INGRESAR PRECIO")),
       IF($B$8="COMPETITIVO",
                   IF($E$8="","COMPLETE MONEDA",
                              IF(C23="","INGRESAR PRECIO","")),"")
))</f>
        <v>0</v>
      </c>
      <c r="G23" s="27">
        <v>1000</v>
      </c>
      <c r="H23" s="27">
        <v>1</v>
      </c>
      <c r="I23" s="16"/>
      <c r="J23" s="16"/>
      <c r="K23" s="25" t="s">
        <v>44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45</v>
      </c>
      <c r="B24" s="15" t="str">
        <f>IF(B8="COMPETITIVO",SUM(B14:B18),SUM(B14:B23))</f>
        <v>0</v>
      </c>
      <c r="H24" s="16"/>
      <c r="I24" s="16"/>
      <c r="J24" s="16"/>
      <c r="K24" s="25" t="s">
        <v>46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47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57" t="s">
        <v>48</v>
      </c>
      <c r="E26" s="57"/>
      <c r="F26" s="57"/>
      <c r="H26" s="16"/>
      <c r="I26" s="16"/>
      <c r="J26" s="16"/>
      <c r="K26" s="25" t="s">
        <v>49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50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51</v>
      </c>
      <c r="H28" s="16"/>
      <c r="I28" s="16"/>
      <c r="J28" s="16"/>
      <c r="K28" s="25" t="s">
        <v>52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53</v>
      </c>
      <c r="B29" s="28"/>
      <c r="C29" s="28"/>
      <c r="D29" s="28"/>
      <c r="E29" s="28"/>
      <c r="F29" s="28"/>
      <c r="H29" s="16"/>
      <c r="I29" s="16"/>
      <c r="J29" s="16"/>
      <c r="K29" s="25" t="s">
        <v>54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56" t="s">
        <v>55</v>
      </c>
      <c r="B30" s="56"/>
      <c r="C30" s="56"/>
      <c r="D30" s="56"/>
      <c r="E30" s="56"/>
      <c r="F30" s="56"/>
      <c r="H30" s="16"/>
      <c r="I30" s="16"/>
      <c r="J30" s="16"/>
      <c r="K30" s="25" t="s">
        <v>56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6" t="s">
        <v>57</v>
      </c>
      <c r="B31" s="33"/>
      <c r="C31" s="33"/>
      <c r="D31" s="33"/>
      <c r="E31" s="33"/>
      <c r="F31" s="33"/>
      <c r="H31" s="16"/>
      <c r="I31" s="16"/>
      <c r="J31" s="16"/>
      <c r="K31" s="25" t="s">
        <v>58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59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60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61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62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63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64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65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66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67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68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69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70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71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72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73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74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75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76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77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78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79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80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81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82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83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84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85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86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87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88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89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90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91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92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93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94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95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96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97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98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99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100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101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102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103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104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105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106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107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108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109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110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111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112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113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114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115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116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117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118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119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120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121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122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123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124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125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126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127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128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129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130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131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132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133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134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135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136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137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138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139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140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141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142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143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144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145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146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147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148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149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150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151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152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153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154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155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156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157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158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159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160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161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162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163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164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165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166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167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168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169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170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171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172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173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174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175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176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177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178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179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180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181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182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183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184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185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186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187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188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189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190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191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192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193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194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195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196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197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198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199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200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201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202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203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204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205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206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207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208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209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210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211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212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213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214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215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216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217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218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219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220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221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222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223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224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225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226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227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228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229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230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231</v>
      </c>
      <c r="L204" s="26">
        <v>238</v>
      </c>
      <c r="Y204" s="31">
        <v>199</v>
      </c>
    </row>
    <row r="205" spans="1:40">
      <c r="K205" s="25" t="s">
        <v>232</v>
      </c>
      <c r="L205" s="26">
        <v>239</v>
      </c>
      <c r="Y205" s="31">
        <v>200</v>
      </c>
    </row>
    <row r="206" spans="1:40">
      <c r="K206" s="25" t="s">
        <v>233</v>
      </c>
      <c r="L206" s="26">
        <v>240</v>
      </c>
      <c r="Y206" s="31">
        <v>201</v>
      </c>
    </row>
    <row r="207" spans="1:40">
      <c r="K207" s="25" t="s">
        <v>234</v>
      </c>
      <c r="L207" s="26">
        <v>241</v>
      </c>
      <c r="Y207" s="31">
        <v>202</v>
      </c>
    </row>
    <row r="208" spans="1:40">
      <c r="K208" s="25" t="s">
        <v>235</v>
      </c>
      <c r="L208" s="26">
        <v>242</v>
      </c>
      <c r="Y208" s="31">
        <v>203</v>
      </c>
    </row>
    <row r="209" spans="1:40">
      <c r="K209" s="25" t="s">
        <v>236</v>
      </c>
      <c r="L209" s="26">
        <v>243</v>
      </c>
      <c r="Y209" s="31">
        <v>204</v>
      </c>
    </row>
    <row r="210" spans="1:40">
      <c r="K210" s="25" t="s">
        <v>237</v>
      </c>
      <c r="L210" s="26">
        <v>244</v>
      </c>
      <c r="Y210" s="31">
        <v>205</v>
      </c>
    </row>
    <row r="211" spans="1:40">
      <c r="K211" s="25" t="s">
        <v>238</v>
      </c>
      <c r="L211" s="26">
        <v>245</v>
      </c>
      <c r="Y211" s="31">
        <v>206</v>
      </c>
    </row>
    <row r="212" spans="1:40">
      <c r="K212" s="25" t="s">
        <v>239</v>
      </c>
      <c r="L212" s="26">
        <v>246</v>
      </c>
      <c r="Y212" s="31">
        <v>207</v>
      </c>
    </row>
    <row r="213" spans="1:40">
      <c r="K213" s="25" t="s">
        <v>240</v>
      </c>
      <c r="L213" s="26">
        <v>247</v>
      </c>
      <c r="Y213" s="31">
        <v>208</v>
      </c>
    </row>
    <row r="214" spans="1:40">
      <c r="K214" s="25" t="s">
        <v>241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F30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6:F26"/>
    <mergeCell ref="D13:E13"/>
    <mergeCell ref="A2:F2"/>
    <mergeCell ref="D6:F6"/>
    <mergeCell ref="C8:D8"/>
    <mergeCell ref="E8:F8"/>
    <mergeCell ref="C11:F11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A19">
    <cfRule type="expression" dxfId="7" priority="8">
      <formula>$C$7=1</formula>
    </cfRule>
  </conditionalFormatting>
  <conditionalFormatting sqref="A20">
    <cfRule type="expression" dxfId="7" priority="9">
      <formula>$C$7=1</formula>
    </cfRule>
  </conditionalFormatting>
  <conditionalFormatting sqref="A21">
    <cfRule type="expression" dxfId="7" priority="10">
      <formula>$C$7=1</formula>
    </cfRule>
  </conditionalFormatting>
  <conditionalFormatting sqref="A22">
    <cfRule type="expression" dxfId="7" priority="11">
      <formula>$C$7=1</formula>
    </cfRule>
  </conditionalFormatting>
  <conditionalFormatting sqref="A23">
    <cfRule type="expression" dxfId="7" priority="12">
      <formula>$C$7=1</formula>
    </cfRule>
  </conditionalFormatting>
  <conditionalFormatting sqref="B19">
    <cfRule type="expression" dxfId="7" priority="13">
      <formula>$C$7=1</formula>
    </cfRule>
  </conditionalFormatting>
  <conditionalFormatting sqref="B20">
    <cfRule type="expression" dxfId="7" priority="14">
      <formula>$C$7=1</formula>
    </cfRule>
  </conditionalFormatting>
  <conditionalFormatting sqref="B21">
    <cfRule type="expression" dxfId="7" priority="15">
      <formula>$C$7=1</formula>
    </cfRule>
  </conditionalFormatting>
  <conditionalFormatting sqref="B22">
    <cfRule type="expression" dxfId="7" priority="16">
      <formula>$C$7=1</formula>
    </cfRule>
  </conditionalFormatting>
  <conditionalFormatting sqref="B23">
    <cfRule type="expression" dxfId="7" priority="17">
      <formula>$C$7=1</formula>
    </cfRule>
  </conditionalFormatting>
  <conditionalFormatting sqref="C19">
    <cfRule type="expression" dxfId="7" priority="18">
      <formula>$C$7=1</formula>
    </cfRule>
  </conditionalFormatting>
  <conditionalFormatting sqref="C20">
    <cfRule type="expression" dxfId="7" priority="19">
      <formula>$C$7=1</formula>
    </cfRule>
  </conditionalFormatting>
  <conditionalFormatting sqref="C21">
    <cfRule type="expression" dxfId="7" priority="20">
      <formula>$C$7=1</formula>
    </cfRule>
  </conditionalFormatting>
  <conditionalFormatting sqref="C22">
    <cfRule type="expression" dxfId="7" priority="21">
      <formula>$C$7=1</formula>
    </cfRule>
  </conditionalFormatting>
  <conditionalFormatting sqref="C23">
    <cfRule type="expression" dxfId="7" priority="22">
      <formula>$C$7=1</formula>
    </cfRule>
  </conditionalFormatting>
  <conditionalFormatting sqref="C24">
    <cfRule type="expression" dxfId="7" priority="23">
      <formula>$C$7=1</formula>
    </cfRule>
  </conditionalFormatting>
  <conditionalFormatting sqref="D19">
    <cfRule type="expression" dxfId="7" priority="24">
      <formula>$C$7=1</formula>
    </cfRule>
  </conditionalFormatting>
  <conditionalFormatting sqref="D20">
    <cfRule type="expression" dxfId="7" priority="25">
      <formula>$C$7=1</formula>
    </cfRule>
  </conditionalFormatting>
  <conditionalFormatting sqref="D21">
    <cfRule type="expression" dxfId="7" priority="26">
      <formula>$C$7=1</formula>
    </cfRule>
  </conditionalFormatting>
  <conditionalFormatting sqref="D22">
    <cfRule type="expression" dxfId="7" priority="27">
      <formula>$C$7=1</formula>
    </cfRule>
  </conditionalFormatting>
  <conditionalFormatting sqref="D23">
    <cfRule type="expression" dxfId="7" priority="28">
      <formula>$C$7=1</formula>
    </cfRule>
  </conditionalFormatting>
  <conditionalFormatting sqref="D24">
    <cfRule type="expression" dxfId="7" priority="29">
      <formula>$C$7=1</formula>
    </cfRule>
  </conditionalFormatting>
  <conditionalFormatting sqref="E19">
    <cfRule type="expression" dxfId="7" priority="30">
      <formula>$C$7=1</formula>
    </cfRule>
  </conditionalFormatting>
  <conditionalFormatting sqref="E20">
    <cfRule type="expression" dxfId="7" priority="31">
      <formula>$C$7=1</formula>
    </cfRule>
  </conditionalFormatting>
  <conditionalFormatting sqref="E21">
    <cfRule type="expression" dxfId="7" priority="32">
      <formula>$C$7=1</formula>
    </cfRule>
  </conditionalFormatting>
  <conditionalFormatting sqref="E22">
    <cfRule type="expression" dxfId="7" priority="33">
      <formula>$C$7=1</formula>
    </cfRule>
  </conditionalFormatting>
  <conditionalFormatting sqref="E23">
    <cfRule type="expression" dxfId="7" priority="34">
      <formula>$C$7=1</formula>
    </cfRule>
  </conditionalFormatting>
  <conditionalFormatting sqref="E24">
    <cfRule type="expression" dxfId="7" priority="35">
      <formula>$C$7=1</formula>
    </cfRule>
  </conditionalFormatting>
  <conditionalFormatting sqref="F19">
    <cfRule type="expression" dxfId="7" priority="36">
      <formula>$C$7=1</formula>
    </cfRule>
  </conditionalFormatting>
  <conditionalFormatting sqref="F20">
    <cfRule type="expression" dxfId="7" priority="37">
      <formula>$C$7=1</formula>
    </cfRule>
  </conditionalFormatting>
  <conditionalFormatting sqref="F21">
    <cfRule type="expression" dxfId="7" priority="38">
      <formula>$C$7=1</formula>
    </cfRule>
  </conditionalFormatting>
  <conditionalFormatting sqref="F22">
    <cfRule type="expression" dxfId="7" priority="39">
      <formula>$C$7=1</formula>
    </cfRule>
  </conditionalFormatting>
  <conditionalFormatting sqref="F23">
    <cfRule type="expression" dxfId="7" priority="40">
      <formula>$C$7=1</formula>
    </cfRule>
  </conditionalFormatting>
  <conditionalFormatting sqref="F24">
    <cfRule type="expression" dxfId="7" priority="41">
      <formula>$C$7=1</formula>
    </cfRule>
  </conditionalFormatting>
  <dataValidations count="11">
    <dataValidation type="decimal" errorStyle="information" allowBlank="1" showDropDown="0" showInputMessage="1" showErrorMessage="1" errorTitle="VERIFICAR PRECIO" error="Debe expresarse por cada 1.000 VN" sqref="C14">
      <formula1>800</formula1>
      <formula2>1001</formula2>
    </dataValidation>
    <dataValidation type="decimal" errorStyle="information" allowBlank="1" showDropDown="0" showInputMessage="1" showErrorMessage="1" errorTitle="VERIFICAR PRECIO" error="Debe expresarse por cada 1.000 VN" sqref="C15">
      <formula1>800</formula1>
      <formula2>1001</formula2>
    </dataValidation>
    <dataValidation type="decimal" errorStyle="information" allowBlank="1" showDropDown="0" showInputMessage="1" showErrorMessage="1" errorTitle="VERIFICAR PRECIO" error="Debe expresarse por cada 1.000 VN" sqref="C16">
      <formula1>800</formula1>
      <formula2>1001</formula2>
    </dataValidation>
    <dataValidation type="decimal" errorStyle="information" allowBlank="1" showDropDown="0" showInputMessage="1" showErrorMessage="1" errorTitle="VERIFICAR PRECIO" error="Debe expresarse por cada 1.000 VN" sqref="C17">
      <formula1>800</formula1>
      <formula2>1001</formula2>
    </dataValidation>
    <dataValidation type="decimal" errorStyle="information" allowBlank="1" showDropDown="0" showInputMessage="1" showErrorMessage="1" errorTitle="VERIFICAR PRECIO" error="Debe expresarse por cada 1.000 VN" sqref="C18">
      <formula1>800</formula1>
      <formula2>1001</formula2>
    </dataValidation>
    <dataValidation type="decimal" errorStyle="information" allowBlank="1" showDropDown="0" showInputMessage="1" showErrorMessage="1" errorTitle="VERIFICAR PRECIO" error="Debe expresarse por cada 1.000 VN" sqref="C19">
      <formula1>800</formula1>
      <formula2>1001</formula2>
    </dataValidation>
    <dataValidation type="decimal" errorStyle="information" allowBlank="1" showDropDown="0" showInputMessage="1" showErrorMessage="1" errorTitle="VERIFICAR PRECIO" error="Debe expresarse por cada 1.000 VN" sqref="C20">
      <formula1>800</formula1>
      <formula2>1001</formula2>
    </dataValidation>
    <dataValidation type="decimal" errorStyle="information" allowBlank="1" showDropDown="0" showInputMessage="1" showErrorMessage="1" errorTitle="VERIFICAR PRECIO" error="Debe expresarse por cada 1.000 VN" sqref="C21">
      <formula1>800</formula1>
      <formula2>1001</formula2>
    </dataValidation>
    <dataValidation type="decimal" errorStyle="information" allowBlank="1" showDropDown="0" showInputMessage="1" showErrorMessage="1" errorTitle="VERIFICAR PRECIO" error="Debe expresarse por cada 1.000 VN" sqref="C22">
      <formula1>800</formula1>
      <formula2>1001</formula2>
    </dataValidation>
    <dataValidation type="decimal" errorStyle="information" allowBlank="1" showDropDown="0" showInputMessage="1" showErrorMessage="1" errorTitle="VERIFICAR PRECIO" error="Debe expresarse por cada 1.000 VN" sqref="C23">
      <formula1>800</formula1>
      <formula2>1001</formula2>
    </dataValidation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2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CD-132-1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jsoto</dc:creator>
  <cp:lastModifiedBy>Javier Leis</cp:lastModifiedBy>
  <dcterms:created xsi:type="dcterms:W3CDTF">2015-03-10T18:59:13-03:00</dcterms:created>
  <dcterms:modified xsi:type="dcterms:W3CDTF">2016-05-18T17:30:59-03:00</dcterms:modified>
  <dc:title/>
  <dc:description/>
  <dc:subject/>
  <cp:keywords/>
  <cp:category/>
</cp:coreProperties>
</file>